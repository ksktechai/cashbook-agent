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tructions" r:id="rId3" sheetId="1"/>
    <sheet name="Cashbook" r:id="rId4" sheetId="2"/>
    <sheet name="Cash Pos" r:id="rId5" sheetId="3"/>
    <sheet name="% for Business Expenses" r:id="rId6" sheetId="4"/>
    <sheet name="OtherCalculation" r:id="rId7" sheetId="5"/>
  </sheets>
</workbook>
</file>

<file path=xl/sharedStrings.xml><?xml version="1.0" encoding="utf-8"?>
<sst xmlns="http://schemas.openxmlformats.org/spreadsheetml/2006/main" count="225" uniqueCount="124">
  <si>
    <t xml:space="preserve">   </t>
  </si>
  <si>
    <t>How to fill in your Business Cashbook</t>
  </si>
  <si>
    <t>Columns:</t>
  </si>
  <si>
    <t>Column A</t>
  </si>
  <si>
    <t>In Column A enter the date of each transaction from the bank statement</t>
  </si>
  <si>
    <t>Column B</t>
  </si>
  <si>
    <t>Code - the codes at the top of the Income &amp; Expense columns are Account Analysis codes.</t>
  </si>
  <si>
    <t/>
  </si>
  <si>
    <t>Enter the code number of the column the transaction is for (e.g. Bank Fees is code 710)</t>
  </si>
  <si>
    <t>Column C</t>
  </si>
  <si>
    <t>Detail - write the particulars of the transaction, e.g. the client name for income</t>
  </si>
  <si>
    <t>Column D</t>
  </si>
  <si>
    <t>Cashbook Balance - this column calculates itself, do not type in it</t>
  </si>
  <si>
    <t>Column E</t>
  </si>
  <si>
    <t>Ref. - the cheque number or the transaction's reference</t>
  </si>
  <si>
    <t>Column G</t>
  </si>
  <si>
    <t>Bank - the amount of the transaction: income is positive, an expense is negative ( - )</t>
  </si>
  <si>
    <t>Column H/I</t>
  </si>
  <si>
    <t>GST Income/Expense - calculated from the bank amount; leave blank where there is no GST,</t>
  </si>
  <si>
    <t>e.g. interest, bank fees, shareholder contributions and offshore subscriptions</t>
  </si>
  <si>
    <t>Row 108</t>
  </si>
  <si>
    <t>Bank Balance - the closing balance shown on your bank statement.</t>
  </si>
  <si>
    <t>Row 110</t>
  </si>
  <si>
    <t>Unpresented deposits - deposits not yet on the bank statement.</t>
  </si>
  <si>
    <t>Row 113</t>
  </si>
  <si>
    <t>Unpresented cheques - payments not yet on the bank statement.</t>
  </si>
  <si>
    <t>SYNTHETIC TEST DATA - NOT A REAL STATEMENT</t>
  </si>
  <si>
    <t>Company Name: TUATARA LANE CONSULTING LIMITED</t>
  </si>
  <si>
    <t>Cashbook for period ending 31/03/2027</t>
  </si>
  <si>
    <t>*</t>
  </si>
  <si>
    <t>707</t>
  </si>
  <si>
    <t>706</t>
  </si>
  <si>
    <t>703</t>
  </si>
  <si>
    <t>704</t>
  </si>
  <si>
    <t>709</t>
  </si>
  <si>
    <t>738</t>
  </si>
  <si>
    <t>739</t>
  </si>
  <si>
    <t>714</t>
  </si>
  <si>
    <t>710</t>
  </si>
  <si>
    <t>711</t>
  </si>
  <si>
    <t>712</t>
  </si>
  <si>
    <t>713</t>
  </si>
  <si>
    <t>715</t>
  </si>
  <si>
    <t>724</t>
  </si>
  <si>
    <t>732</t>
  </si>
  <si>
    <t>733</t>
  </si>
  <si>
    <t>734</t>
  </si>
  <si>
    <t>Date</t>
  </si>
  <si>
    <t>Code</t>
  </si>
  <si>
    <t>Detail</t>
  </si>
  <si>
    <t>C/Book Balance</t>
  </si>
  <si>
    <t>Ref</t>
  </si>
  <si>
    <t>Bank</t>
  </si>
  <si>
    <t>GST Income</t>
  </si>
  <si>
    <t>GST Expense</t>
  </si>
  <si>
    <t>Income</t>
  </si>
  <si>
    <t>S/Holder Contribution</t>
  </si>
  <si>
    <t>Purchases</t>
  </si>
  <si>
    <t>ACC Levy</t>
  </si>
  <si>
    <t>No GST Purchases
(online tech. subscriptions)</t>
  </si>
  <si>
    <t>Interest</t>
  </si>
  <si>
    <t>Bank Fees</t>
  </si>
  <si>
    <t>Accountancy</t>
  </si>
  <si>
    <t>Legal Fees</t>
  </si>
  <si>
    <t>Vehicle Expenses</t>
  </si>
  <si>
    <t>Postage &amp; Stationery</t>
  </si>
  <si>
    <t>Apartment Rent</t>
  </si>
  <si>
    <t>Power</t>
  </si>
  <si>
    <t>Entertaintment</t>
  </si>
  <si>
    <t>Internet</t>
  </si>
  <si>
    <t>Mobile Plan - Tui Mobile</t>
  </si>
  <si>
    <t>Car Parking</t>
  </si>
  <si>
    <t>Contents Insurance</t>
  </si>
  <si>
    <t>Indemnity Insurance</t>
  </si>
  <si>
    <t>Fakeville Council Rates/Body Corp Fees</t>
  </si>
  <si>
    <t>Home Office Expenses</t>
  </si>
  <si>
    <t>Income - October - Client (50% progress payment received)</t>
  </si>
  <si>
    <t>Power - Fibrewave</t>
  </si>
  <si>
    <t>Entertainment (Business Lunch/Coffee/Meals/Drinks)</t>
  </si>
  <si>
    <t>Internet - Fibrewave</t>
  </si>
  <si>
    <t>Mobile Plan - Tui Mobile NZ</t>
  </si>
  <si>
    <t>Car Park Fees</t>
  </si>
  <si>
    <t>Accountant Fee (Accountancy)</t>
  </si>
  <si>
    <t>Body Corp Fees / Council Rates</t>
  </si>
  <si>
    <t>Online Tech Subscriptions (NO GST)</t>
  </si>
  <si>
    <t>Home Contents Insurance</t>
  </si>
  <si>
    <t>Income - November - Client (50% progress payment received)</t>
  </si>
  <si>
    <t>Indemnity Insurance - Shield (annual)</t>
  </si>
  <si>
    <t>Income - December - Client (50% progress payment received)</t>
  </si>
  <si>
    <t>Income - January - Client (50% progress payment received)</t>
  </si>
  <si>
    <t>Income - February - Client (50% progress payment received)</t>
  </si>
  <si>
    <t>Income - March - Client (50% progress payment received)</t>
  </si>
  <si>
    <t>Bank Reconciliation:</t>
  </si>
  <si>
    <t>Closing Bank Balance @ ??</t>
  </si>
  <si>
    <t>Add: Unpresented Deposits</t>
  </si>
  <si>
    <t>Cheque Number:</t>
  </si>
  <si>
    <t>Less: Unpresented Cheques</t>
  </si>
  <si>
    <t>Cashbook Balance</t>
  </si>
  <si>
    <t>Note:</t>
  </si>
  <si>
    <t>Exclude any GST Payments or Refund Received in this GST period</t>
  </si>
  <si>
    <t>TUATARA LANE CONSULTING LIMITED</t>
  </si>
  <si>
    <t>Cash Position as at 31 Mar 2027</t>
  </si>
  <si>
    <t>Cash Receipts</t>
  </si>
  <si>
    <t>Income Received</t>
  </si>
  <si>
    <t>Shareholder Contribution</t>
  </si>
  <si>
    <t>Total Cash Receipts</t>
  </si>
  <si>
    <t>Cash Payments</t>
  </si>
  <si>
    <t>Unit 4B: 12 Sample Street, Fakeville  25% for Home Office</t>
  </si>
  <si>
    <t>Total Cash Payments</t>
  </si>
  <si>
    <t>Represented By:</t>
  </si>
  <si>
    <t>Current Account</t>
  </si>
  <si>
    <t>Difference</t>
  </si>
  <si>
    <t>Check this is zero</t>
  </si>
  <si>
    <t>Percentages for business use, for reference.
The accountant applies these to the expense and GST Amount for business use</t>
  </si>
  <si>
    <t>Description</t>
  </si>
  <si>
    <t>% to use for business expenses</t>
  </si>
  <si>
    <t>Other Calculations</t>
  </si>
  <si>
    <t>Tuatara Lane Consulting Ltd</t>
  </si>
  <si>
    <t>Entertainment</t>
  </si>
  <si>
    <t>Business Lunch/Coffee/Meals</t>
  </si>
  <si>
    <t>Internet Subscriptions</t>
  </si>
  <si>
    <t>Business Expenses</t>
  </si>
  <si>
    <t>Fibrewave - Power / Internet split</t>
  </si>
  <si>
    <t>NO GST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</si>
</sst>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4" fontId="0" fillId="0" borderId="0" xfId="0" applyNumberFormat="true"/>
    <xf numFmtId="0" fontId="1" fillId="0" borderId="0" xfId="0" applyFont="true">
      <alignment wrapText="true"/>
    </xf>
    <xf numFmtId="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4"/>
  <sheetViews>
    <sheetView workbookViewId="0" tabSelected="true"/>
  </sheetViews>
  <sheetFormatPr defaultRowHeight="15.0"/>
  <sheetData>
    <row r="1">
      <c r="A1" t="s" s="0">
        <v>0</v>
      </c>
    </row>
    <row r="9">
      <c r="A9" t="s" s="1">
        <v>1</v>
      </c>
    </row>
    <row r="11">
      <c r="A11" t="s" s="0">
        <v>2</v>
      </c>
    </row>
    <row r="13">
      <c r="A13" t="s" s="0">
        <v>3</v>
      </c>
      <c r="B13" t="s" s="0">
        <v>4</v>
      </c>
    </row>
    <row r="15">
      <c r="A15" t="s" s="0">
        <v>5</v>
      </c>
      <c r="B15" t="s" s="0">
        <v>6</v>
      </c>
    </row>
    <row r="17">
      <c r="A17" t="s" s="0">
        <v>7</v>
      </c>
      <c r="B17" t="s" s="0">
        <v>8</v>
      </c>
    </row>
    <row r="19">
      <c r="A19" t="s" s="0">
        <v>9</v>
      </c>
      <c r="B19" t="s" s="0">
        <v>10</v>
      </c>
    </row>
    <row r="21">
      <c r="A21" t="s" s="0">
        <v>11</v>
      </c>
      <c r="B21" t="s" s="0">
        <v>12</v>
      </c>
    </row>
    <row r="23">
      <c r="A23" t="s" s="0">
        <v>13</v>
      </c>
      <c r="B23" t="s" s="0">
        <v>14</v>
      </c>
    </row>
    <row r="25">
      <c r="A25" t="s" s="0">
        <v>15</v>
      </c>
      <c r="B25" t="s" s="0">
        <v>16</v>
      </c>
    </row>
    <row r="27">
      <c r="A27" t="s" s="0">
        <v>17</v>
      </c>
      <c r="B27" t="s" s="0">
        <v>18</v>
      </c>
    </row>
    <row r="29">
      <c r="A29" t="s" s="0">
        <v>7</v>
      </c>
      <c r="B29" t="s" s="0">
        <v>19</v>
      </c>
    </row>
    <row r="31">
      <c r="A31" t="s" s="0">
        <v>20</v>
      </c>
      <c r="B31" t="s" s="0">
        <v>21</v>
      </c>
    </row>
    <row r="33">
      <c r="A33" t="s" s="0">
        <v>22</v>
      </c>
      <c r="B33" t="s" s="0">
        <v>23</v>
      </c>
    </row>
    <row r="35">
      <c r="A35" t="s" s="0">
        <v>24</v>
      </c>
      <c r="B35" t="s" s="0">
        <v>25</v>
      </c>
    </row>
    <row r="74">
      <c r="A74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V126"/>
  <sheetViews>
    <sheetView workbookViewId="0">
      <pane xSplit="3.0" ySplit="5.0" state="frozen" topLeftCell="D6" activePane="bottomRight"/>
      <selection pane="bottomRight"/>
    </sheetView>
  </sheetViews>
  <sheetFormatPr defaultRowHeight="15.0"/>
  <cols>
    <col min="3" max="3" width="48.0" customWidth="true"/>
  </cols>
  <sheetData>
    <row r="1">
      <c r="A1" t="s" s="1">
        <v>27</v>
      </c>
    </row>
    <row r="3">
      <c r="A3" t="s" s="1">
        <v>28</v>
      </c>
      <c r="K3" t="s" s="0">
        <v>29</v>
      </c>
      <c r="S3" t="s" s="0">
        <v>29</v>
      </c>
    </row>
    <row r="4">
      <c r="J4" t="s" s="1">
        <v>30</v>
      </c>
      <c r="K4" t="s" s="1">
        <v>31</v>
      </c>
      <c r="L4" t="s" s="1">
        <v>32</v>
      </c>
      <c r="M4" t="s" s="1">
        <v>33</v>
      </c>
      <c r="N4" t="s" s="1">
        <v>34</v>
      </c>
      <c r="O4" t="s" s="1">
        <v>35</v>
      </c>
      <c r="P4" t="s" s="1">
        <v>36</v>
      </c>
      <c r="Q4" t="s" s="1">
        <v>37</v>
      </c>
      <c r="R4" t="s" s="1">
        <v>38</v>
      </c>
      <c r="S4" t="s" s="1">
        <v>39</v>
      </c>
      <c r="T4" t="s" s="1">
        <v>40</v>
      </c>
      <c r="U4" t="s" s="1">
        <v>41</v>
      </c>
      <c r="V4" t="s" s="1">
        <v>42</v>
      </c>
      <c r="W4" t="s" s="1">
        <v>43</v>
      </c>
      <c r="X4" t="n" s="1">
        <v>725.0</v>
      </c>
      <c r="Y4" t="n" s="1">
        <v>726.0</v>
      </c>
      <c r="Z4" t="n" s="1">
        <v>727.0</v>
      </c>
      <c r="AA4" t="n" s="1">
        <v>728.0</v>
      </c>
      <c r="AB4" t="n" s="1">
        <v>729.0</v>
      </c>
      <c r="AC4" t="n" s="1">
        <v>730.0</v>
      </c>
      <c r="AD4" t="s" s="1">
        <v>44</v>
      </c>
      <c r="AE4" t="s" s="1">
        <v>45</v>
      </c>
      <c r="AF4" t="s" s="1">
        <v>46</v>
      </c>
      <c r="AG4" t="n" s="1">
        <v>735.0</v>
      </c>
    </row>
    <row r="5">
      <c r="A5" t="s" s="1">
        <v>47</v>
      </c>
      <c r="B5" t="s" s="1">
        <v>48</v>
      </c>
      <c r="C5" t="s" s="1">
        <v>49</v>
      </c>
      <c r="D5" t="s" s="1">
        <v>50</v>
      </c>
      <c r="E5" t="s" s="1">
        <v>51</v>
      </c>
      <c r="G5" t="s" s="1">
        <v>52</v>
      </c>
      <c r="H5" t="s" s="1">
        <v>53</v>
      </c>
      <c r="I5" t="s" s="1">
        <v>54</v>
      </c>
      <c r="J5" t="s" s="1">
        <v>55</v>
      </c>
      <c r="K5" t="s" s="1">
        <v>56</v>
      </c>
      <c r="N5" t="s" s="1">
        <v>57</v>
      </c>
      <c r="O5" t="s" s="1">
        <v>58</v>
      </c>
      <c r="P5" t="s" s="3">
        <v>59</v>
      </c>
      <c r="Q5" t="s" s="1">
        <v>60</v>
      </c>
      <c r="R5" t="s" s="1">
        <v>61</v>
      </c>
      <c r="S5" t="s" s="1">
        <v>62</v>
      </c>
      <c r="T5" t="s" s="1">
        <v>63</v>
      </c>
      <c r="U5" t="s" s="1">
        <v>64</v>
      </c>
      <c r="V5" t="s" s="1">
        <v>65</v>
      </c>
      <c r="W5" t="s" s="1">
        <v>66</v>
      </c>
      <c r="X5" t="s" s="1">
        <v>67</v>
      </c>
      <c r="Y5" t="s" s="1">
        <v>68</v>
      </c>
      <c r="Z5" t="s" s="1">
        <v>69</v>
      </c>
      <c r="AA5" t="s" s="1">
        <v>70</v>
      </c>
      <c r="AB5" t="s" s="1">
        <v>71</v>
      </c>
      <c r="AC5" t="s" s="1">
        <v>72</v>
      </c>
      <c r="AD5" t="s" s="1">
        <v>73</v>
      </c>
      <c r="AE5" t="s" s="1">
        <v>74</v>
      </c>
      <c r="AF5" t="s" s="1">
        <v>75</v>
      </c>
    </row>
    <row r="6">
      <c r="K6" t="str" s="0">
        <f>IF($B6=706,SUM($G6-(SUM($H6:$I6))),"")</f>
        <v/>
      </c>
      <c r="L6" t="str" s="0">
        <f>IF($B6=703,SUM($G6-(SUM($H6:$I6))),"")</f>
        <v/>
      </c>
      <c r="M6" t="str" s="0">
        <f>IF($B6=704,SUM($G6-(SUM($H6:$I6))),"")</f>
        <v/>
      </c>
      <c r="N6" t="str" s="0">
        <f>IF($B6=709,SUM($G6-(SUM($H6:$I6))),"")</f>
        <v/>
      </c>
      <c r="O6" t="str" s="0">
        <f>IF($B6=738,SUM($G6-(SUM($H6:$I6))),"")</f>
        <v/>
      </c>
      <c r="P6" t="str" s="0">
        <f>IF($B6=739,SUM($G6-(SUM($H6:$I6))),"")</f>
        <v/>
      </c>
      <c r="Q6" t="str" s="0">
        <f>IF($B6=714,SUM($G6-(SUM($H6:$I6))),"")</f>
        <v/>
      </c>
      <c r="R6" t="str" s="0">
        <f>IF($B6=710,SUM($G6-(SUM($H6:$I6))),"")</f>
        <v/>
      </c>
      <c r="S6" t="str" s="0">
        <f>IF($B6=711,SUM($G6-(SUM($H6:$I6))),"")</f>
        <v/>
      </c>
      <c r="T6" t="str" s="0">
        <f>IF($B6=712,SUM($G6-(SUM($H6:$I6))),"")</f>
        <v/>
      </c>
      <c r="U6" t="str" s="0">
        <f>IF($B6=713,SUM($G6-(SUM($H6:$I6))),"")</f>
        <v/>
      </c>
      <c r="V6" t="str" s="0">
        <f>IF($B6=715,SUM($G6-(SUM($H6:$I6))),"")</f>
        <v/>
      </c>
      <c r="W6" t="str" s="0">
        <f>IF($B6=724,SUM($G6-(SUM($H6:$I6))),"")</f>
        <v/>
      </c>
      <c r="X6" t="str" s="0">
        <f>IF($B6=725,SUM($G6-(SUM($H6:$I6))),"")</f>
        <v/>
      </c>
      <c r="Y6" t="str" s="0">
        <f>IF($B6=726,SUM($G6-(SUM($H6:$I6))),"")</f>
        <v/>
      </c>
      <c r="Z6" t="str" s="0">
        <f>IF($B6=727,SUM($G6-(SUM($H6:$I6))),"")</f>
        <v/>
      </c>
      <c r="AA6" t="str" s="0">
        <f>IF($B6=728,SUM($G6-(SUM($H6:$I6))),"")</f>
        <v/>
      </c>
      <c r="AB6" t="str" s="0">
        <f>IF($B6=729,SUM($G6-(SUM($H6:$I6))),"")</f>
        <v/>
      </c>
      <c r="AC6" t="str" s="0">
        <f>IF($B6=730,SUM($G6-(SUM($H6:$I6))),"")</f>
        <v/>
      </c>
      <c r="AD6" t="str" s="0">
        <f>IF($B6=732,SUM($G6-(SUM($H6:$I6))),"")</f>
        <v/>
      </c>
      <c r="AE6" t="str" s="0">
        <f>IF($B6=733,SUM($G6-(SUM($H6:$I6))),"")</f>
        <v/>
      </c>
      <c r="AF6" t="str" s="0">
        <f>IF($B6=734,SUM($G6-(SUM($H6:$I6))),"")</f>
        <v/>
      </c>
      <c r="AG6" t="str" s="0">
        <f>IF($B6=705,SUM($G6-(SUM($H6:$I6))),"")</f>
        <v/>
      </c>
      <c r="AH6" t="str" s="0">
        <f>IF($B6=735,SUM($G6-(SUM($H6:$I6))),"")</f>
        <v/>
      </c>
      <c r="AI6" t="str" s="0">
        <f>IF($B6=736,SUM($G6-(SUM($H6:$I6))),"")</f>
        <v/>
      </c>
      <c r="AJ6" t="str" s="0">
        <f>IF($B6=737,SUM($G6-(SUM($H6:$I6))),"")</f>
        <v/>
      </c>
      <c r="AK6" t="str" s="0">
        <f>IF($B6=725,SUM($G6-(SUM($H6:$I6))),"")</f>
        <v/>
      </c>
      <c r="AL6" t="str" s="0">
        <f>IF($B6=735,SUM($G6-(SUM($H6:$I6))),"")</f>
        <v/>
      </c>
      <c r="AM6" t="str" s="0">
        <f>IF($B6=727,SUM($G6-(SUM($H6:$I6))),"")</f>
        <v/>
      </c>
      <c r="AN6" t="str" s="0">
        <f>IF($B6=718,SUM($G6-(SUM($H6:$I6))),"")</f>
        <v/>
      </c>
      <c r="AO6" t="str" s="0">
        <f>IF($B6=719,SUM($G6-(SUM($H6:$I6))),"")</f>
        <v/>
      </c>
      <c r="AP6" t="str" s="0">
        <f>IF($B6=717,SUM($G6-(SUM($H6:$I6))),"")</f>
        <v/>
      </c>
      <c r="AQ6" t="str" s="0">
        <f>IF($B6=722,SUM($G6-(SUM($H6:$I6))),"")</f>
        <v/>
      </c>
      <c r="AR6" t="str" s="0">
        <f>IF($B6=708,SUM($G6-(SUM($H6:$I6))),"")</f>
        <v/>
      </c>
      <c r="AS6" t="str" s="0">
        <f>IF($B6=701,SUM($G6-(SUM($H6:$I6))),"")</f>
        <v/>
      </c>
      <c r="AT6" t="str" s="0">
        <f>IF($B6=702,SUM($G6-(SUM($H6:$I6))),"")</f>
        <v/>
      </c>
      <c r="AU6" t="str" s="0">
        <f>IF($B6=731,SUM($G6-(SUM($H6:$I6))),"")</f>
        <v/>
      </c>
      <c r="AV6" t="str" s="0">
        <f>IF($B6=730,SUM($G6-(SUM($H6:$I6))),"")</f>
        <v/>
      </c>
    </row>
    <row r="7">
      <c r="B7" t="n" s="0">
        <v>707.0</v>
      </c>
      <c r="C7" t="s">
        <v>76</v>
      </c>
      <c r="D7" t="n">
        <f>D6+G7</f>
        <v>0.0</v>
      </c>
      <c r="F7" t="n">
        <f>SUM(H7:AV7)-G7</f>
        <v>0.0</v>
      </c>
      <c r="G7" s="2" t="n">
        <v>0.0</v>
      </c>
      <c r="H7" t="str">
        <f>IF(G7/23*3&gt;0,SUM(G7/23*3),"")</f>
        <v/>
      </c>
      <c r="I7" t="str">
        <f>IF(G7/23*3&lt;0,SUM(G7/23*3),"")</f>
        <v/>
      </c>
      <c r="J7" t="n">
        <f>IF($B7=707,SUM($G7-(SUM($H7:$I7))),"")</f>
        <v>0.0</v>
      </c>
      <c r="K7" t="str">
        <f>IF($B7=706,SUM($G7-(SUM($H7:$I7))),"")</f>
        <v/>
      </c>
      <c r="L7" t="str">
        <f>IF($B7=703,SUM($G7-(SUM($H7:$I7))),"")</f>
        <v/>
      </c>
      <c r="M7" t="str">
        <f>IF($B7=704,SUM($G7-(SUM($H7:$I7))),"")</f>
        <v/>
      </c>
      <c r="N7" t="str">
        <f>IF($B7=709,SUM($G7-(SUM($H7:$I7))),"")</f>
        <v/>
      </c>
      <c r="O7" t="str">
        <f>IF($B7=738,SUM($G7-(SUM($H7:$I7))),"")</f>
        <v/>
      </c>
      <c r="P7" t="str">
        <f>IF($B7=739,SUM($G7-(SUM($H7:$I7))),"")</f>
        <v/>
      </c>
      <c r="Q7" t="str">
        <f>IF($B7=714,SUM($G7-(SUM($H7:$I7))),"")</f>
        <v/>
      </c>
      <c r="R7" t="str">
        <f>IF($B7=710,SUM($G7-(SUM($H7:$I7))),"")</f>
        <v/>
      </c>
      <c r="S7" t="str">
        <f>IF($B7=711,SUM($G7-(SUM($H7:$I7))),"")</f>
        <v/>
      </c>
      <c r="T7" t="str">
        <f>IF($B7=712,SUM($G7-(SUM($H7:$I7))),"")</f>
        <v/>
      </c>
      <c r="U7" t="str">
        <f>IF($B7=713,SUM($G7-(SUM($H7:$I7))),"")</f>
        <v/>
      </c>
      <c r="V7" t="str">
        <f>IF($B7=715,SUM($G7-(SUM($H7:$I7))),"")</f>
        <v/>
      </c>
      <c r="W7" t="str">
        <f>IF($B7=724,SUM($G7-(SUM($H7:$I7))),"")</f>
        <v/>
      </c>
      <c r="X7" t="str">
        <f>IF($B7=725,SUM($G7-(SUM($H7:$I7))),"")</f>
        <v/>
      </c>
      <c r="Y7" t="str">
        <f>IF($B7=726,SUM($G7-(SUM($H7:$I7))),"")</f>
        <v/>
      </c>
      <c r="Z7" t="str">
        <f>IF($B7=727,SUM($G7-(SUM($H7:$I7))),"")</f>
        <v/>
      </c>
      <c r="AA7" t="str">
        <f>IF($B7=728,SUM($G7-(SUM($H7:$I7))),"")</f>
        <v/>
      </c>
      <c r="AB7" t="str">
        <f>IF($B7=729,SUM($G7-(SUM($H7:$I7))),"")</f>
        <v/>
      </c>
      <c r="AC7" t="str">
        <f>IF($B7=730,SUM($G7-(SUM($H7:$I7))),"")</f>
        <v/>
      </c>
      <c r="AD7" t="str">
        <f>IF($B7=732,SUM($G7-(SUM($H7:$I7))),"")</f>
        <v/>
      </c>
      <c r="AE7" t="str">
        <f>IF($B7=733,SUM($G7-(SUM($H7:$I7))),"")</f>
        <v/>
      </c>
      <c r="AF7" t="str">
        <f>IF($B7=734,SUM($G7-(SUM($H7:$I7))),"")</f>
        <v/>
      </c>
      <c r="AG7" t="str">
        <f>IF($B7=705,SUM($G7-(SUM($H7:$I7))),"")</f>
        <v/>
      </c>
      <c r="AH7" t="str">
        <f>IF($B7=735,SUM($G7-(SUM($H7:$I7))),"")</f>
        <v/>
      </c>
      <c r="AI7" t="str">
        <f>IF($B7=736,SUM($G7-(SUM($H7:$I7))),"")</f>
        <v/>
      </c>
      <c r="AJ7" t="str">
        <f>IF($B7=737,SUM($G7-(SUM($H7:$I7))),"")</f>
        <v/>
      </c>
      <c r="AK7" t="str">
        <f>IF($B7=725,SUM($G7-(SUM($H7:$I7))),"")</f>
        <v/>
      </c>
      <c r="AL7" t="str">
        <f>IF($B7=735,SUM($G7-(SUM($H7:$I7))),"")</f>
        <v/>
      </c>
      <c r="AM7" t="str">
        <f>IF($B7=727,SUM($G7-(SUM($H7:$I7))),"")</f>
        <v/>
      </c>
      <c r="AN7" t="str">
        <f>IF($B7=718,SUM($G7-(SUM($H7:$I7))),"")</f>
        <v/>
      </c>
      <c r="AO7" t="str">
        <f>IF($B7=719,SUM($G7-(SUM($H7:$I7))),"")</f>
        <v/>
      </c>
      <c r="AP7" t="str">
        <f>IF($B7=717,SUM($G7-(SUM($H7:$I7))),"")</f>
        <v/>
      </c>
      <c r="AQ7" t="str">
        <f>IF($B7=722,SUM($G7-(SUM($H7:$I7))),"")</f>
        <v/>
      </c>
      <c r="AR7" t="str">
        <f>IF($B7=708,SUM($G7-(SUM($H7:$I7))),"")</f>
        <v/>
      </c>
      <c r="AS7" t="str">
        <f>IF($B7=701,SUM($G7-(SUM($H7:$I7))),"")</f>
        <v/>
      </c>
      <c r="AT7" t="str">
        <f>IF($B7=702,SUM($G7-(SUM($H7:$I7))),"")</f>
        <v/>
      </c>
      <c r="AU7" t="str">
        <f>IF($B7=731,SUM($G7-(SUM($H7:$I7))),"")</f>
        <v/>
      </c>
      <c r="AV7" t="str">
        <f>IF($B7=730,SUM($G7-(SUM($H7:$I7))),"")</f>
        <v/>
      </c>
    </row>
    <row r="8">
      <c r="B8" t="n" s="0">
        <v>725.0</v>
      </c>
      <c r="C8" t="s">
        <v>77</v>
      </c>
      <c r="D8" t="n">
        <f>D7+G8</f>
        <v>0.0</v>
      </c>
      <c r="F8" t="n">
        <f>SUM(H8:AV8)-G8</f>
        <v>0.0</v>
      </c>
      <c r="G8" s="2" t="n">
        <v>0.0</v>
      </c>
      <c r="H8" t="str">
        <f>IF(G8/23*3&gt;0,SUM(G8/23*3),"")</f>
        <v/>
      </c>
      <c r="I8" t="str">
        <f>IF(G8/23*3&lt;0,SUM(G8/23*3),"")</f>
        <v/>
      </c>
      <c r="J8" t="str">
        <f>IF($B8=707,SUM($G8-(SUM($H8:$I8))),"")</f>
        <v/>
      </c>
      <c r="K8" t="str">
        <f>IF($B8=706,SUM($G8-(SUM($H8:$I8))),"")</f>
        <v/>
      </c>
      <c r="L8" t="str">
        <f>IF($B8=703,SUM($G8-(SUM($H8:$I8))),"")</f>
        <v/>
      </c>
      <c r="M8" t="str">
        <f>IF($B8=704,SUM($G8-(SUM($H8:$I8))),"")</f>
        <v/>
      </c>
      <c r="N8" t="str">
        <f>IF($B8=709,SUM($G8-(SUM($H8:$I8))),"")</f>
        <v/>
      </c>
      <c r="O8" t="str">
        <f>IF($B8=738,SUM($G8-(SUM($H8:$I8))),"")</f>
        <v/>
      </c>
      <c r="P8" t="str">
        <f>IF($B8=739,SUM($G8-(SUM($H8:$I8))),"")</f>
        <v/>
      </c>
      <c r="Q8" t="str">
        <f>IF($B8=714,SUM($G8-(SUM($H8:$I8))),"")</f>
        <v/>
      </c>
      <c r="R8" t="str">
        <f>IF($B8=710,SUM($G8-(SUM($H8:$I8))),"")</f>
        <v/>
      </c>
      <c r="S8" t="str">
        <f>IF($B8=711,SUM($G8-(SUM($H8:$I8))),"")</f>
        <v/>
      </c>
      <c r="T8" t="str">
        <f>IF($B8=712,SUM($G8-(SUM($H8:$I8))),"")</f>
        <v/>
      </c>
      <c r="U8" t="str">
        <f>IF($B8=713,SUM($G8-(SUM($H8:$I8))),"")</f>
        <v/>
      </c>
      <c r="V8" t="str">
        <f>IF($B8=715,SUM($G8-(SUM($H8:$I8))),"")</f>
        <v/>
      </c>
      <c r="W8" t="str">
        <f>IF($B8=724,SUM($G8-(SUM($H8:$I8))),"")</f>
        <v/>
      </c>
      <c r="X8" t="n">
        <f>IF($B8=725,SUM($G8-(SUM($H8:$I8))),"")</f>
        <v>0.0</v>
      </c>
      <c r="Y8" t="str">
        <f>IF($B8=726,SUM($G8-(SUM($H8:$I8))),"")</f>
        <v/>
      </c>
      <c r="Z8" t="str">
        <f>IF($B8=727,SUM($G8-(SUM($H8:$I8))),"")</f>
        <v/>
      </c>
      <c r="AA8" t="str">
        <f>IF($B8=728,SUM($G8-(SUM($H8:$I8))),"")</f>
        <v/>
      </c>
      <c r="AB8" t="str">
        <f>IF($B8=729,SUM($G8-(SUM($H8:$I8))),"")</f>
        <v/>
      </c>
      <c r="AC8" t="str">
        <f>IF($B8=730,SUM($G8-(SUM($H8:$I8))),"")</f>
        <v/>
      </c>
      <c r="AD8" t="str">
        <f>IF($B8=732,SUM($G8-(SUM($H8:$I8))),"")</f>
        <v/>
      </c>
      <c r="AE8" t="str">
        <f>IF($B8=733,SUM($G8-(SUM($H8:$I8))),"")</f>
        <v/>
      </c>
      <c r="AF8" t="str">
        <f>IF($B8=734,SUM($G8-(SUM($H8:$I8))),"")</f>
        <v/>
      </c>
      <c r="AG8" t="str">
        <f>IF($B8=705,SUM($G8-(SUM($H8:$I8))),"")</f>
        <v/>
      </c>
      <c r="AH8" t="str">
        <f>IF($B8=735,SUM($G8-(SUM($H8:$I8))),"")</f>
        <v/>
      </c>
      <c r="AI8" t="str">
        <f>IF($B8=736,SUM($G8-(SUM($H8:$I8))),"")</f>
        <v/>
      </c>
      <c r="AJ8" t="str">
        <f>IF($B8=737,SUM($G8-(SUM($H8:$I8))),"")</f>
        <v/>
      </c>
      <c r="AK8" t="n">
        <f>IF($B8=725,SUM($G8-(SUM($H8:$I8))),"")</f>
        <v>0.0</v>
      </c>
      <c r="AL8" t="str">
        <f>IF($B8=735,SUM($G8-(SUM($H8:$I8))),"")</f>
        <v/>
      </c>
      <c r="AM8" t="str">
        <f>IF($B8=727,SUM($G8-(SUM($H8:$I8))),"")</f>
        <v/>
      </c>
      <c r="AN8" t="str">
        <f>IF($B8=718,SUM($G8-(SUM($H8:$I8))),"")</f>
        <v/>
      </c>
      <c r="AO8" t="str">
        <f>IF($B8=719,SUM($G8-(SUM($H8:$I8))),"")</f>
        <v/>
      </c>
      <c r="AP8" t="str">
        <f>IF($B8=717,SUM($G8-(SUM($H8:$I8))),"")</f>
        <v/>
      </c>
      <c r="AQ8" t="str">
        <f>IF($B8=722,SUM($G8-(SUM($H8:$I8))),"")</f>
        <v/>
      </c>
      <c r="AR8" t="str">
        <f>IF($B8=708,SUM($G8-(SUM($H8:$I8))),"")</f>
        <v/>
      </c>
      <c r="AS8" t="str">
        <f>IF($B8=701,SUM($G8-(SUM($H8:$I8))),"")</f>
        <v/>
      </c>
      <c r="AT8" t="str">
        <f>IF($B8=702,SUM($G8-(SUM($H8:$I8))),"")</f>
        <v/>
      </c>
      <c r="AU8" t="str">
        <f>IF($B8=731,SUM($G8-(SUM($H8:$I8))),"")</f>
        <v/>
      </c>
      <c r="AV8" t="str">
        <f>IF($B8=730,SUM($G8-(SUM($H8:$I8))),"")</f>
        <v/>
      </c>
    </row>
    <row r="9">
      <c r="B9" t="n" s="0">
        <v>726.0</v>
      </c>
      <c r="C9" t="s">
        <v>78</v>
      </c>
      <c r="D9" t="n">
        <f>D8+G9</f>
        <v>0.0</v>
      </c>
      <c r="F9" t="n">
        <f>SUM(H9:AV9)-G9</f>
        <v>0.0</v>
      </c>
      <c r="G9" s="2" t="n">
        <f>-(OtherCalculation!C5)</f>
        <v>0.0</v>
      </c>
      <c r="H9" t="str">
        <f>IF(G9/23*3&gt;0,SUM(G9/23*3),"")</f>
        <v/>
      </c>
      <c r="I9" t="str">
        <f>IF(G9/23*3&lt;0,SUM(G9/23*3),"")</f>
        <v/>
      </c>
      <c r="J9" t="str">
        <f>IF($B9=707,SUM($G9-(SUM($H9:$I9))),"")</f>
        <v/>
      </c>
      <c r="K9" t="str">
        <f>IF($B9=706,SUM($G9-(SUM($H9:$I9))),"")</f>
        <v/>
      </c>
      <c r="L9" t="str">
        <f>IF($B9=703,SUM($G9-(SUM($H9:$I9))),"")</f>
        <v/>
      </c>
      <c r="M9" t="str">
        <f>IF($B9=704,SUM($G9-(SUM($H9:$I9))),"")</f>
        <v/>
      </c>
      <c r="N9" t="str">
        <f>IF($B9=709,SUM($G9-(SUM($H9:$I9))),"")</f>
        <v/>
      </c>
      <c r="O9" t="str">
        <f>IF($B9=738,SUM($G9-(SUM($H9:$I9))),"")</f>
        <v/>
      </c>
      <c r="P9" t="str">
        <f>IF($B9=739,SUM($G9-(SUM($H9:$I9))),"")</f>
        <v/>
      </c>
      <c r="Q9" t="str">
        <f>IF($B9=714,SUM($G9-(SUM($H9:$I9))),"")</f>
        <v/>
      </c>
      <c r="R9" t="str">
        <f>IF($B9=710,SUM($G9-(SUM($H9:$I9))),"")</f>
        <v/>
      </c>
      <c r="S9" t="str">
        <f>IF($B9=711,SUM($G9-(SUM($H9:$I9))),"")</f>
        <v/>
      </c>
      <c r="T9" t="str">
        <f>IF($B9=712,SUM($G9-(SUM($H9:$I9))),"")</f>
        <v/>
      </c>
      <c r="U9" t="str">
        <f>IF($B9=713,SUM($G9-(SUM($H9:$I9))),"")</f>
        <v/>
      </c>
      <c r="V9" t="str">
        <f>IF($B9=715,SUM($G9-(SUM($H9:$I9))),"")</f>
        <v/>
      </c>
      <c r="W9" t="str">
        <f>IF($B9=724,SUM($G9-(SUM($H9:$I9))),"")</f>
        <v/>
      </c>
      <c r="X9" t="str">
        <f>IF($B9=725,SUM($G9-(SUM($H9:$I9))),"")</f>
        <v/>
      </c>
      <c r="Y9" t="n">
        <f>IF($B9=726,SUM($G9-(SUM($H9:$I9))),"")</f>
        <v>0.0</v>
      </c>
      <c r="Z9" t="str">
        <f>IF($B9=727,SUM($G9-(SUM($H9:$I9))),"")</f>
        <v/>
      </c>
      <c r="AA9" t="str">
        <f>IF($B9=728,SUM($G9-(SUM($H9:$I9))),"")</f>
        <v/>
      </c>
      <c r="AB9" t="str">
        <f>IF($B9=729,SUM($G9-(SUM($H9:$I9))),"")</f>
        <v/>
      </c>
      <c r="AC9" t="str">
        <f>IF($B9=730,SUM($G9-(SUM($H9:$I9))),"")</f>
        <v/>
      </c>
      <c r="AD9" t="str">
        <f>IF($B9=732,SUM($G9-(SUM($H9:$I9))),"")</f>
        <v/>
      </c>
      <c r="AE9" t="str">
        <f>IF($B9=733,SUM($G9-(SUM($H9:$I9))),"")</f>
        <v/>
      </c>
      <c r="AF9" t="str">
        <f>IF($B9=734,SUM($G9-(SUM($H9:$I9))),"")</f>
        <v/>
      </c>
      <c r="AG9" t="str">
        <f>IF($B9=705,SUM($G9-(SUM($H9:$I9))),"")</f>
        <v/>
      </c>
      <c r="AH9" t="str">
        <f>IF($B9=735,SUM($G9-(SUM($H9:$I9))),"")</f>
        <v/>
      </c>
      <c r="AI9" t="str">
        <f>IF($B9=736,SUM($G9-(SUM($H9:$I9))),"")</f>
        <v/>
      </c>
      <c r="AJ9" t="str">
        <f>IF($B9=737,SUM($G9-(SUM($H9:$I9))),"")</f>
        <v/>
      </c>
      <c r="AK9" t="str">
        <f>IF($B9=725,SUM($G9-(SUM($H9:$I9))),"")</f>
        <v/>
      </c>
      <c r="AL9" t="str">
        <f>IF($B9=735,SUM($G9-(SUM($H9:$I9))),"")</f>
        <v/>
      </c>
      <c r="AM9" t="str">
        <f>IF($B9=727,SUM($G9-(SUM($H9:$I9))),"")</f>
        <v/>
      </c>
      <c r="AN9" t="str">
        <f>IF($B9=718,SUM($G9-(SUM($H9:$I9))),"")</f>
        <v/>
      </c>
      <c r="AO9" t="str">
        <f>IF($B9=719,SUM($G9-(SUM($H9:$I9))),"")</f>
        <v/>
      </c>
      <c r="AP9" t="str">
        <f>IF($B9=717,SUM($G9-(SUM($H9:$I9))),"")</f>
        <v/>
      </c>
      <c r="AQ9" t="str">
        <f>IF($B9=722,SUM($G9-(SUM($H9:$I9))),"")</f>
        <v/>
      </c>
      <c r="AR9" t="str">
        <f>IF($B9=708,SUM($G9-(SUM($H9:$I9))),"")</f>
        <v/>
      </c>
      <c r="AS9" t="str">
        <f>IF($B9=701,SUM($G9-(SUM($H9:$I9))),"")</f>
        <v/>
      </c>
      <c r="AT9" t="str">
        <f>IF($B9=702,SUM($G9-(SUM($H9:$I9))),"")</f>
        <v/>
      </c>
      <c r="AU9" t="str">
        <f>IF($B9=731,SUM($G9-(SUM($H9:$I9))),"")</f>
        <v/>
      </c>
      <c r="AV9" t="str">
        <f>IF($B9=730,SUM($G9-(SUM($H9:$I9))),"")</f>
        <v/>
      </c>
    </row>
    <row r="10">
      <c r="B10" t="n" s="0">
        <v>727.0</v>
      </c>
      <c r="C10" t="s">
        <v>79</v>
      </c>
      <c r="D10" t="n">
        <f>D9+G10</f>
        <v>0.0</v>
      </c>
      <c r="F10" t="n">
        <f>SUM(H10:AV10)-G10</f>
        <v>0.0</v>
      </c>
      <c r="G10" s="2" t="n">
        <v>0.0</v>
      </c>
      <c r="H10" t="str">
        <f>IF(G10/23*3&gt;0,SUM(G10/23*3),"")</f>
        <v/>
      </c>
      <c r="I10" t="str">
        <f>IF(G10/23*3&lt;0,SUM(G10/23*3),"")</f>
        <v/>
      </c>
      <c r="J10" t="str">
        <f>IF($B10=707,SUM($G10-(SUM($H10:$I10))),"")</f>
        <v/>
      </c>
      <c r="K10" t="str">
        <f>IF($B10=706,SUM($G10-(SUM($H10:$I10))),"")</f>
        <v/>
      </c>
      <c r="L10" t="str">
        <f>IF($B10=703,SUM($G10-(SUM($H10:$I10))),"")</f>
        <v/>
      </c>
      <c r="M10" t="str">
        <f>IF($B10=704,SUM($G10-(SUM($H10:$I10))),"")</f>
        <v/>
      </c>
      <c r="N10" t="str">
        <f>IF($B10=709,SUM($G10-(SUM($H10:$I10))),"")</f>
        <v/>
      </c>
      <c r="O10" t="str">
        <f>IF($B10=738,SUM($G10-(SUM($H10:$I10))),"")</f>
        <v/>
      </c>
      <c r="P10" t="str">
        <f>IF($B10=739,SUM($G10-(SUM($H10:$I10))),"")</f>
        <v/>
      </c>
      <c r="Q10" t="str">
        <f>IF($B10=714,SUM($G10-(SUM($H10:$I10))),"")</f>
        <v/>
      </c>
      <c r="R10" t="str">
        <f>IF($B10=710,SUM($G10-(SUM($H10:$I10))),"")</f>
        <v/>
      </c>
      <c r="S10" t="str">
        <f>IF($B10=711,SUM($G10-(SUM($H10:$I10))),"")</f>
        <v/>
      </c>
      <c r="T10" t="str">
        <f>IF($B10=712,SUM($G10-(SUM($H10:$I10))),"")</f>
        <v/>
      </c>
      <c r="U10" t="str">
        <f>IF($B10=713,SUM($G10-(SUM($H10:$I10))),"")</f>
        <v/>
      </c>
      <c r="V10" t="str">
        <f>IF($B10=715,SUM($G10-(SUM($H10:$I10))),"")</f>
        <v/>
      </c>
      <c r="W10" t="str">
        <f>IF($B10=724,SUM($G10-(SUM($H10:$I10))),"")</f>
        <v/>
      </c>
      <c r="X10" t="str">
        <f>IF($B10=725,SUM($G10-(SUM($H10:$I10))),"")</f>
        <v/>
      </c>
      <c r="Y10" t="str">
        <f>IF($B10=726,SUM($G10-(SUM($H10:$I10))),"")</f>
        <v/>
      </c>
      <c r="Z10" t="n">
        <f>IF($B10=727,SUM($G10-(SUM($H10:$I10))),"")</f>
        <v>0.0</v>
      </c>
      <c r="AA10" t="str">
        <f>IF($B10=728,SUM($G10-(SUM($H10:$I10))),"")</f>
        <v/>
      </c>
      <c r="AB10" t="str">
        <f>IF($B10=729,SUM($G10-(SUM($H10:$I10))),"")</f>
        <v/>
      </c>
      <c r="AC10" t="str">
        <f>IF($B10=730,SUM($G10-(SUM($H10:$I10))),"")</f>
        <v/>
      </c>
      <c r="AD10" t="str">
        <f>IF($B10=732,SUM($G10-(SUM($H10:$I10))),"")</f>
        <v/>
      </c>
      <c r="AE10" t="str">
        <f>IF($B10=733,SUM($G10-(SUM($H10:$I10))),"")</f>
        <v/>
      </c>
      <c r="AF10" t="str">
        <f>IF($B10=734,SUM($G10-(SUM($H10:$I10))),"")</f>
        <v/>
      </c>
      <c r="AG10" t="str">
        <f>IF($B10=705,SUM($G10-(SUM($H10:$I10))),"")</f>
        <v/>
      </c>
      <c r="AH10" t="str">
        <f>IF($B10=735,SUM($G10-(SUM($H10:$I10))),"")</f>
        <v/>
      </c>
      <c r="AI10" t="str">
        <f>IF($B10=736,SUM($G10-(SUM($H10:$I10))),"")</f>
        <v/>
      </c>
      <c r="AJ10" t="str">
        <f>IF($B10=737,SUM($G10-(SUM($H10:$I10))),"")</f>
        <v/>
      </c>
      <c r="AK10" t="str">
        <f>IF($B10=725,SUM($G10-(SUM($H10:$I10))),"")</f>
        <v/>
      </c>
      <c r="AL10" t="str">
        <f>IF($B10=735,SUM($G10-(SUM($H10:$I10))),"")</f>
        <v/>
      </c>
      <c r="AM10" t="n">
        <f>IF($B10=727,SUM($G10-(SUM($H10:$I10))),"")</f>
        <v>0.0</v>
      </c>
      <c r="AN10" t="str">
        <f>IF($B10=718,SUM($G10-(SUM($H10:$I10))),"")</f>
        <v/>
      </c>
      <c r="AO10" t="str">
        <f>IF($B10=719,SUM($G10-(SUM($H10:$I10))),"")</f>
        <v/>
      </c>
      <c r="AP10" t="str">
        <f>IF($B10=717,SUM($G10-(SUM($H10:$I10))),"")</f>
        <v/>
      </c>
      <c r="AQ10" t="str">
        <f>IF($B10=722,SUM($G10-(SUM($H10:$I10))),"")</f>
        <v/>
      </c>
      <c r="AR10" t="str">
        <f>IF($B10=708,SUM($G10-(SUM($H10:$I10))),"")</f>
        <v/>
      </c>
      <c r="AS10" t="str">
        <f>IF($B10=701,SUM($G10-(SUM($H10:$I10))),"")</f>
        <v/>
      </c>
      <c r="AT10" t="str">
        <f>IF($B10=702,SUM($G10-(SUM($H10:$I10))),"")</f>
        <v/>
      </c>
      <c r="AU10" t="str">
        <f>IF($B10=731,SUM($G10-(SUM($H10:$I10))),"")</f>
        <v/>
      </c>
      <c r="AV10" t="str">
        <f>IF($B10=730,SUM($G10-(SUM($H10:$I10))),"")</f>
        <v/>
      </c>
    </row>
    <row r="11">
      <c r="B11" t="n" s="0">
        <v>728.0</v>
      </c>
      <c r="C11" t="s">
        <v>80</v>
      </c>
      <c r="D11" t="n">
        <f>D10+G11</f>
        <v>0.0</v>
      </c>
      <c r="F11" t="n">
        <f>SUM(H11:AV11)-G11</f>
        <v>0.0</v>
      </c>
      <c r="G11" s="2" t="n">
        <v>0.0</v>
      </c>
      <c r="H11" t="str">
        <f>IF(G11/23*3&gt;0,SUM(G11/23*3),"")</f>
        <v/>
      </c>
      <c r="I11" t="str">
        <f>IF(G11/23*3&lt;0,SUM(G11/23*3),"")</f>
        <v/>
      </c>
      <c r="J11" t="str">
        <f>IF($B11=707,SUM($G11-(SUM($H11:$I11))),"")</f>
        <v/>
      </c>
      <c r="K11" t="str">
        <f>IF($B11=706,SUM($G11-(SUM($H11:$I11))),"")</f>
        <v/>
      </c>
      <c r="L11" t="str">
        <f>IF($B11=703,SUM($G11-(SUM($H11:$I11))),"")</f>
        <v/>
      </c>
      <c r="M11" t="str">
        <f>IF($B11=704,SUM($G11-(SUM($H11:$I11))),"")</f>
        <v/>
      </c>
      <c r="N11" t="str">
        <f>IF($B11=709,SUM($G11-(SUM($H11:$I11))),"")</f>
        <v/>
      </c>
      <c r="O11" t="str">
        <f>IF($B11=738,SUM($G11-(SUM($H11:$I11))),"")</f>
        <v/>
      </c>
      <c r="P11" t="str">
        <f>IF($B11=739,SUM($G11-(SUM($H11:$I11))),"")</f>
        <v/>
      </c>
      <c r="Q11" t="str">
        <f>IF($B11=714,SUM($G11-(SUM($H11:$I11))),"")</f>
        <v/>
      </c>
      <c r="R11" t="str">
        <f>IF($B11=710,SUM($G11-(SUM($H11:$I11))),"")</f>
        <v/>
      </c>
      <c r="S11" t="str">
        <f>IF($B11=711,SUM($G11-(SUM($H11:$I11))),"")</f>
        <v/>
      </c>
      <c r="T11" t="str">
        <f>IF($B11=712,SUM($G11-(SUM($H11:$I11))),"")</f>
        <v/>
      </c>
      <c r="U11" t="str">
        <f>IF($B11=713,SUM($G11-(SUM($H11:$I11))),"")</f>
        <v/>
      </c>
      <c r="V11" t="str">
        <f>IF($B11=715,SUM($G11-(SUM($H11:$I11))),"")</f>
        <v/>
      </c>
      <c r="W11" t="str">
        <f>IF($B11=724,SUM($G11-(SUM($H11:$I11))),"")</f>
        <v/>
      </c>
      <c r="X11" t="str">
        <f>IF($B11=725,SUM($G11-(SUM($H11:$I11))),"")</f>
        <v/>
      </c>
      <c r="Y11" t="str">
        <f>IF($B11=726,SUM($G11-(SUM($H11:$I11))),"")</f>
        <v/>
      </c>
      <c r="Z11" t="str">
        <f>IF($B11=727,SUM($G11-(SUM($H11:$I11))),"")</f>
        <v/>
      </c>
      <c r="AA11" t="n">
        <f>IF($B11=728,SUM($G11-(SUM($H11:$I11))),"")</f>
        <v>0.0</v>
      </c>
      <c r="AB11" t="str">
        <f>IF($B11=729,SUM($G11-(SUM($H11:$I11))),"")</f>
        <v/>
      </c>
      <c r="AC11" t="str">
        <f>IF($B11=730,SUM($G11-(SUM($H11:$I11))),"")</f>
        <v/>
      </c>
      <c r="AD11" t="str">
        <f>IF($B11=732,SUM($G11-(SUM($H11:$I11))),"")</f>
        <v/>
      </c>
      <c r="AE11" t="str">
        <f>IF($B11=733,SUM($G11-(SUM($H11:$I11))),"")</f>
        <v/>
      </c>
      <c r="AF11" t="str">
        <f>IF($B11=734,SUM($G11-(SUM($H11:$I11))),"")</f>
        <v/>
      </c>
      <c r="AG11" t="str">
        <f>IF($B11=705,SUM($G11-(SUM($H11:$I11))),"")</f>
        <v/>
      </c>
      <c r="AH11" t="str">
        <f>IF($B11=735,SUM($G11-(SUM($H11:$I11))),"")</f>
        <v/>
      </c>
      <c r="AI11" t="str">
        <f>IF($B11=736,SUM($G11-(SUM($H11:$I11))),"")</f>
        <v/>
      </c>
      <c r="AJ11" t="str">
        <f>IF($B11=737,SUM($G11-(SUM($H11:$I11))),"")</f>
        <v/>
      </c>
      <c r="AK11" t="str">
        <f>IF($B11=725,SUM($G11-(SUM($H11:$I11))),"")</f>
        <v/>
      </c>
      <c r="AL11" t="str">
        <f>IF($B11=735,SUM($G11-(SUM($H11:$I11))),"")</f>
        <v/>
      </c>
      <c r="AM11" t="str">
        <f>IF($B11=727,SUM($G11-(SUM($H11:$I11))),"")</f>
        <v/>
      </c>
      <c r="AN11" t="str">
        <f>IF($B11=718,SUM($G11-(SUM($H11:$I11))),"")</f>
        <v/>
      </c>
      <c r="AO11" t="str">
        <f>IF($B11=719,SUM($G11-(SUM($H11:$I11))),"")</f>
        <v/>
      </c>
      <c r="AP11" t="str">
        <f>IF($B11=717,SUM($G11-(SUM($H11:$I11))),"")</f>
        <v/>
      </c>
      <c r="AQ11" t="str">
        <f>IF($B11=722,SUM($G11-(SUM($H11:$I11))),"")</f>
        <v/>
      </c>
      <c r="AR11" t="str">
        <f>IF($B11=708,SUM($G11-(SUM($H11:$I11))),"")</f>
        <v/>
      </c>
      <c r="AS11" t="str">
        <f>IF($B11=701,SUM($G11-(SUM($H11:$I11))),"")</f>
        <v/>
      </c>
      <c r="AT11" t="str">
        <f>IF($B11=702,SUM($G11-(SUM($H11:$I11))),"")</f>
        <v/>
      </c>
      <c r="AU11" t="str">
        <f>IF($B11=731,SUM($G11-(SUM($H11:$I11))),"")</f>
        <v/>
      </c>
      <c r="AV11" t="str">
        <f>IF($B11=730,SUM($G11-(SUM($H11:$I11))),"")</f>
        <v/>
      </c>
    </row>
    <row r="12">
      <c r="B12" t="n" s="0">
        <v>729.0</v>
      </c>
      <c r="C12" t="s">
        <v>81</v>
      </c>
      <c r="D12" t="n">
        <f>D11+G12</f>
        <v>0.0</v>
      </c>
      <c r="F12" t="n">
        <f>SUM(H12:AV12)-G12</f>
        <v>0.0</v>
      </c>
      <c r="G12" s="2" t="n">
        <v>0.0</v>
      </c>
      <c r="H12" t="str">
        <f>IF(G12/23*3&gt;0,SUM(G12/23*3),"")</f>
        <v/>
      </c>
      <c r="I12" t="str">
        <f>IF(G12/23*3&lt;0,SUM(G12/23*3),"")</f>
        <v/>
      </c>
      <c r="J12" t="str">
        <f>IF($B12=707,SUM($G12-(SUM($H12:$I12))),"")</f>
        <v/>
      </c>
      <c r="K12" t="str">
        <f>IF($B12=706,SUM($G12-(SUM($H12:$I12))),"")</f>
        <v/>
      </c>
      <c r="L12" t="str">
        <f>IF($B12=703,SUM($G12-(SUM($H12:$I12))),"")</f>
        <v/>
      </c>
      <c r="M12" t="str">
        <f>IF($B12=704,SUM($G12-(SUM($H12:$I12))),"")</f>
        <v/>
      </c>
      <c r="N12" t="str">
        <f>IF($B12=709,SUM($G12-(SUM($H12:$I12))),"")</f>
        <v/>
      </c>
      <c r="O12" t="str">
        <f>IF($B12=738,SUM($G12-(SUM($H12:$I12))),"")</f>
        <v/>
      </c>
      <c r="P12" t="str">
        <f>IF($B12=739,SUM($G12-(SUM($H12:$I12))),"")</f>
        <v/>
      </c>
      <c r="Q12" t="str">
        <f>IF($B12=714,SUM($G12-(SUM($H12:$I12))),"")</f>
        <v/>
      </c>
      <c r="R12" t="str">
        <f>IF($B12=710,SUM($G12-(SUM($H12:$I12))),"")</f>
        <v/>
      </c>
      <c r="S12" t="str">
        <f>IF($B12=711,SUM($G12-(SUM($H12:$I12))),"")</f>
        <v/>
      </c>
      <c r="T12" t="str">
        <f>IF($B12=712,SUM($G12-(SUM($H12:$I12))),"")</f>
        <v/>
      </c>
      <c r="U12" t="str">
        <f>IF($B12=713,SUM($G12-(SUM($H12:$I12))),"")</f>
        <v/>
      </c>
      <c r="V12" t="str">
        <f>IF($B12=715,SUM($G12-(SUM($H12:$I12))),"")</f>
        <v/>
      </c>
      <c r="W12" t="str">
        <f>IF($B12=724,SUM($G12-(SUM($H12:$I12))),"")</f>
        <v/>
      </c>
      <c r="X12" t="str">
        <f>IF($B12=725,SUM($G12-(SUM($H12:$I12))),"")</f>
        <v/>
      </c>
      <c r="Y12" t="str">
        <f>IF($B12=726,SUM($G12-(SUM($H12:$I12))),"")</f>
        <v/>
      </c>
      <c r="Z12" t="str">
        <f>IF($B12=727,SUM($G12-(SUM($H12:$I12))),"")</f>
        <v/>
      </c>
      <c r="AA12" t="str">
        <f>IF($B12=728,SUM($G12-(SUM($H12:$I12))),"")</f>
        <v/>
      </c>
      <c r="AB12" t="n">
        <f>IF($B12=729,SUM($G12-(SUM($H12:$I12))),"")</f>
        <v>0.0</v>
      </c>
      <c r="AC12" t="str">
        <f>IF($B12=730,SUM($G12-(SUM($H12:$I12))),"")</f>
        <v/>
      </c>
      <c r="AD12" t="str">
        <f>IF($B12=732,SUM($G12-(SUM($H12:$I12))),"")</f>
        <v/>
      </c>
      <c r="AE12" t="str">
        <f>IF($B12=733,SUM($G12-(SUM($H12:$I12))),"")</f>
        <v/>
      </c>
      <c r="AF12" t="str">
        <f>IF($B12=734,SUM($G12-(SUM($H12:$I12))),"")</f>
        <v/>
      </c>
      <c r="AG12" t="str">
        <f>IF($B12=705,SUM($G12-(SUM($H12:$I12))),"")</f>
        <v/>
      </c>
      <c r="AH12" t="str">
        <f>IF($B12=735,SUM($G12-(SUM($H12:$I12))),"")</f>
        <v/>
      </c>
      <c r="AI12" t="str">
        <f>IF($B12=736,SUM($G12-(SUM($H12:$I12))),"")</f>
        <v/>
      </c>
      <c r="AJ12" t="str">
        <f>IF($B12=737,SUM($G12-(SUM($H12:$I12))),"")</f>
        <v/>
      </c>
      <c r="AK12" t="str">
        <f>IF($B12=725,SUM($G12-(SUM($H12:$I12))),"")</f>
        <v/>
      </c>
      <c r="AL12" t="str">
        <f>IF($B12=735,SUM($G12-(SUM($H12:$I12))),"")</f>
        <v/>
      </c>
      <c r="AM12" t="str">
        <f>IF($B12=727,SUM($G12-(SUM($H12:$I12))),"")</f>
        <v/>
      </c>
      <c r="AN12" t="str">
        <f>IF($B12=718,SUM($G12-(SUM($H12:$I12))),"")</f>
        <v/>
      </c>
      <c r="AO12" t="str">
        <f>IF($B12=719,SUM($G12-(SUM($H12:$I12))),"")</f>
        <v/>
      </c>
      <c r="AP12" t="str">
        <f>IF($B12=717,SUM($G12-(SUM($H12:$I12))),"")</f>
        <v/>
      </c>
      <c r="AQ12" t="str">
        <f>IF($B12=722,SUM($G12-(SUM($H12:$I12))),"")</f>
        <v/>
      </c>
      <c r="AR12" t="str">
        <f>IF($B12=708,SUM($G12-(SUM($H12:$I12))),"")</f>
        <v/>
      </c>
      <c r="AS12" t="str">
        <f>IF($B12=701,SUM($G12-(SUM($H12:$I12))),"")</f>
        <v/>
      </c>
      <c r="AT12" t="str">
        <f>IF($B12=702,SUM($G12-(SUM($H12:$I12))),"")</f>
        <v/>
      </c>
      <c r="AU12" t="str">
        <f>IF($B12=731,SUM($G12-(SUM($H12:$I12))),"")</f>
        <v/>
      </c>
      <c r="AV12" t="str">
        <f>IF($B12=730,SUM($G12-(SUM($H12:$I12))),"")</f>
        <v/>
      </c>
    </row>
    <row r="13">
      <c r="B13" t="n" s="0">
        <v>734.0</v>
      </c>
      <c r="C13" t="s">
        <v>75</v>
      </c>
      <c r="D13" t="n">
        <f>D12+G13</f>
        <v>0.0</v>
      </c>
      <c r="F13" t="n">
        <f>SUM(H13:AV13)-G13</f>
        <v>0.0</v>
      </c>
      <c r="G13" s="2" t="n">
        <v>0.0</v>
      </c>
      <c r="H13" t="str">
        <f>IF(G13/23*3&gt;0,SUM(G13/23*3),"")</f>
        <v/>
      </c>
      <c r="I13" t="str">
        <f>IF(G13/23*3&lt;0,SUM(G13/23*3),"")</f>
        <v/>
      </c>
      <c r="J13" t="str">
        <f>IF($B13=707,SUM($G13-(SUM($H13:$I13))),"")</f>
        <v/>
      </c>
      <c r="K13" t="str">
        <f>IF($B13=706,SUM($G13-(SUM($H13:$I13))),"")</f>
        <v/>
      </c>
      <c r="L13" t="str">
        <f>IF($B13=703,SUM($G13-(SUM($H13:$I13))),"")</f>
        <v/>
      </c>
      <c r="M13" t="str">
        <f>IF($B13=704,SUM($G13-(SUM($H13:$I13))),"")</f>
        <v/>
      </c>
      <c r="N13" t="str">
        <f>IF($B13=709,SUM($G13-(SUM($H13:$I13))),"")</f>
        <v/>
      </c>
      <c r="O13" t="str">
        <f>IF($B13=738,SUM($G13-(SUM($H13:$I13))),"")</f>
        <v/>
      </c>
      <c r="P13" t="str">
        <f>IF($B13=739,SUM($G13-(SUM($H13:$I13))),"")</f>
        <v/>
      </c>
      <c r="Q13" t="str">
        <f>IF($B13=714,SUM($G13-(SUM($H13:$I13))),"")</f>
        <v/>
      </c>
      <c r="R13" t="str">
        <f>IF($B13=710,SUM($G13-(SUM($H13:$I13))),"")</f>
        <v/>
      </c>
      <c r="S13" t="str">
        <f>IF($B13=711,SUM($G13-(SUM($H13:$I13))),"")</f>
        <v/>
      </c>
      <c r="T13" t="str">
        <f>IF($B13=712,SUM($G13-(SUM($H13:$I13))),"")</f>
        <v/>
      </c>
      <c r="U13" t="str">
        <f>IF($B13=713,SUM($G13-(SUM($H13:$I13))),"")</f>
        <v/>
      </c>
      <c r="V13" t="str">
        <f>IF($B13=715,SUM($G13-(SUM($H13:$I13))),"")</f>
        <v/>
      </c>
      <c r="W13" t="str">
        <f>IF($B13=724,SUM($G13-(SUM($H13:$I13))),"")</f>
        <v/>
      </c>
      <c r="X13" t="str">
        <f>IF($B13=725,SUM($G13-(SUM($H13:$I13))),"")</f>
        <v/>
      </c>
      <c r="Y13" t="str">
        <f>IF($B13=726,SUM($G13-(SUM($H13:$I13))),"")</f>
        <v/>
      </c>
      <c r="Z13" t="str">
        <f>IF($B13=727,SUM($G13-(SUM($H13:$I13))),"")</f>
        <v/>
      </c>
      <c r="AA13" t="str">
        <f>IF($B13=728,SUM($G13-(SUM($H13:$I13))),"")</f>
        <v/>
      </c>
      <c r="AB13" t="str">
        <f>IF($B13=729,SUM($G13-(SUM($H13:$I13))),"")</f>
        <v/>
      </c>
      <c r="AC13" t="str">
        <f>IF($B13=730,SUM($G13-(SUM($H13:$I13))),"")</f>
        <v/>
      </c>
      <c r="AD13" t="str">
        <f>IF($B13=732,SUM($G13-(SUM($H13:$I13))),"")</f>
        <v/>
      </c>
      <c r="AE13" t="str">
        <f>IF($B13=733,SUM($G13-(SUM($H13:$I13))),"")</f>
        <v/>
      </c>
      <c r="AF13" t="n">
        <f>IF($B13=734,SUM($G13-(SUM($H13:$I13))),"")</f>
        <v>0.0</v>
      </c>
      <c r="AG13" t="str">
        <f>IF($B13=705,SUM($G13-(SUM($H13:$I13))),"")</f>
        <v/>
      </c>
      <c r="AH13" t="str">
        <f>IF($B13=735,SUM($G13-(SUM($H13:$I13))),"")</f>
        <v/>
      </c>
      <c r="AI13" t="str">
        <f>IF($B13=736,SUM($G13-(SUM($H13:$I13))),"")</f>
        <v/>
      </c>
      <c r="AJ13" t="str">
        <f>IF($B13=737,SUM($G13-(SUM($H13:$I13))),"")</f>
        <v/>
      </c>
      <c r="AK13" t="str">
        <f>IF($B13=725,SUM($G13-(SUM($H13:$I13))),"")</f>
        <v/>
      </c>
      <c r="AL13" t="str">
        <f>IF($B13=735,SUM($G13-(SUM($H13:$I13))),"")</f>
        <v/>
      </c>
      <c r="AM13" t="str">
        <f>IF($B13=727,SUM($G13-(SUM($H13:$I13))),"")</f>
        <v/>
      </c>
      <c r="AN13" t="str">
        <f>IF($B13=718,SUM($G13-(SUM($H13:$I13))),"")</f>
        <v/>
      </c>
      <c r="AO13" t="str">
        <f>IF($B13=719,SUM($G13-(SUM($H13:$I13))),"")</f>
        <v/>
      </c>
      <c r="AP13" t="str">
        <f>IF($B13=717,SUM($G13-(SUM($H13:$I13))),"")</f>
        <v/>
      </c>
      <c r="AQ13" t="str">
        <f>IF($B13=722,SUM($G13-(SUM($H13:$I13))),"")</f>
        <v/>
      </c>
      <c r="AR13" t="str">
        <f>IF($B13=708,SUM($G13-(SUM($H13:$I13))),"")</f>
        <v/>
      </c>
      <c r="AS13" t="str">
        <f>IF($B13=701,SUM($G13-(SUM($H13:$I13))),"")</f>
        <v/>
      </c>
      <c r="AT13" t="str">
        <f>IF($B13=702,SUM($G13-(SUM($H13:$I13))),"")</f>
        <v/>
      </c>
      <c r="AU13" t="str">
        <f>IF($B13=731,SUM($G13-(SUM($H13:$I13))),"")</f>
        <v/>
      </c>
      <c r="AV13" t="str">
        <f>IF($B13=730,SUM($G13-(SUM($H13:$I13))),"")</f>
        <v/>
      </c>
    </row>
    <row r="14">
      <c r="B14" t="n" s="0">
        <v>734.0</v>
      </c>
      <c r="C14" t="s">
        <v>75</v>
      </c>
      <c r="D14" t="n">
        <f>D13+G14</f>
        <v>0.0</v>
      </c>
      <c r="F14" t="n">
        <f>SUM(H14:AV14)-G14</f>
        <v>0.0</v>
      </c>
      <c r="G14" s="2" t="n">
        <v>0.0</v>
      </c>
      <c r="H14" t="str">
        <f>IF(G14/23*3&gt;0,SUM(G14/23*3),"")</f>
        <v/>
      </c>
      <c r="I14" t="str">
        <f>IF(G14/23*3&lt;0,SUM(G14/23*3),"")</f>
        <v/>
      </c>
      <c r="J14" t="str">
        <f>IF($B14=707,SUM($G14-(SUM($H14:$I14))),"")</f>
        <v/>
      </c>
      <c r="K14" t="str">
        <f>IF($B14=706,SUM($G14-(SUM($H14:$I14))),"")</f>
        <v/>
      </c>
      <c r="L14" t="str">
        <f>IF($B14=703,SUM($G14-(SUM($H14:$I14))),"")</f>
        <v/>
      </c>
      <c r="M14" t="str">
        <f>IF($B14=704,SUM($G14-(SUM($H14:$I14))),"")</f>
        <v/>
      </c>
      <c r="N14" t="str">
        <f>IF($B14=709,SUM($G14-(SUM($H14:$I14))),"")</f>
        <v/>
      </c>
      <c r="O14" t="str">
        <f>IF($B14=738,SUM($G14-(SUM($H14:$I14))),"")</f>
        <v/>
      </c>
      <c r="P14" t="str">
        <f>IF($B14=739,SUM($G14-(SUM($H14:$I14))),"")</f>
        <v/>
      </c>
      <c r="Q14" t="str">
        <f>IF($B14=714,SUM($G14-(SUM($H14:$I14))),"")</f>
        <v/>
      </c>
      <c r="R14" t="str">
        <f>IF($B14=710,SUM($G14-(SUM($H14:$I14))),"")</f>
        <v/>
      </c>
      <c r="S14" t="str">
        <f>IF($B14=711,SUM($G14-(SUM($H14:$I14))),"")</f>
        <v/>
      </c>
      <c r="T14" t="str">
        <f>IF($B14=712,SUM($G14-(SUM($H14:$I14))),"")</f>
        <v/>
      </c>
      <c r="U14" t="str">
        <f>IF($B14=713,SUM($G14-(SUM($H14:$I14))),"")</f>
        <v/>
      </c>
      <c r="V14" t="str">
        <f>IF($B14=715,SUM($G14-(SUM($H14:$I14))),"")</f>
        <v/>
      </c>
      <c r="W14" t="str">
        <f>IF($B14=724,SUM($G14-(SUM($H14:$I14))),"")</f>
        <v/>
      </c>
      <c r="X14" t="str">
        <f>IF($B14=725,SUM($G14-(SUM($H14:$I14))),"")</f>
        <v/>
      </c>
      <c r="Y14" t="str">
        <f>IF($B14=726,SUM($G14-(SUM($H14:$I14))),"")</f>
        <v/>
      </c>
      <c r="Z14" t="str">
        <f>IF($B14=727,SUM($G14-(SUM($H14:$I14))),"")</f>
        <v/>
      </c>
      <c r="AA14" t="str">
        <f>IF($B14=728,SUM($G14-(SUM($H14:$I14))),"")</f>
        <v/>
      </c>
      <c r="AB14" t="str">
        <f>IF($B14=729,SUM($G14-(SUM($H14:$I14))),"")</f>
        <v/>
      </c>
      <c r="AC14" t="str">
        <f>IF($B14=730,SUM($G14-(SUM($H14:$I14))),"")</f>
        <v/>
      </c>
      <c r="AD14" t="str">
        <f>IF($B14=732,SUM($G14-(SUM($H14:$I14))),"")</f>
        <v/>
      </c>
      <c r="AE14" t="str">
        <f>IF($B14=733,SUM($G14-(SUM($H14:$I14))),"")</f>
        <v/>
      </c>
      <c r="AF14" t="n">
        <f>IF($B14=734,SUM($G14-(SUM($H14:$I14))),"")</f>
        <v>0.0</v>
      </c>
      <c r="AG14" t="str">
        <f>IF($B14=705,SUM($G14-(SUM($H14:$I14))),"")</f>
        <v/>
      </c>
      <c r="AH14" t="str">
        <f>IF($B14=735,SUM($G14-(SUM($H14:$I14))),"")</f>
        <v/>
      </c>
      <c r="AI14" t="str">
        <f>IF($B14=736,SUM($G14-(SUM($H14:$I14))),"")</f>
        <v/>
      </c>
      <c r="AJ14" t="str">
        <f>IF($B14=737,SUM($G14-(SUM($H14:$I14))),"")</f>
        <v/>
      </c>
      <c r="AK14" t="str">
        <f>IF($B14=725,SUM($G14-(SUM($H14:$I14))),"")</f>
        <v/>
      </c>
      <c r="AL14" t="str">
        <f>IF($B14=735,SUM($G14-(SUM($H14:$I14))),"")</f>
        <v/>
      </c>
      <c r="AM14" t="str">
        <f>IF($B14=727,SUM($G14-(SUM($H14:$I14))),"")</f>
        <v/>
      </c>
      <c r="AN14" t="str">
        <f>IF($B14=718,SUM($G14-(SUM($H14:$I14))),"")</f>
        <v/>
      </c>
      <c r="AO14" t="str">
        <f>IF($B14=719,SUM($G14-(SUM($H14:$I14))),"")</f>
        <v/>
      </c>
      <c r="AP14" t="str">
        <f>IF($B14=717,SUM($G14-(SUM($H14:$I14))),"")</f>
        <v/>
      </c>
      <c r="AQ14" t="str">
        <f>IF($B14=722,SUM($G14-(SUM($H14:$I14))),"")</f>
        <v/>
      </c>
      <c r="AR14" t="str">
        <f>IF($B14=708,SUM($G14-(SUM($H14:$I14))),"")</f>
        <v/>
      </c>
      <c r="AS14" t="str">
        <f>IF($B14=701,SUM($G14-(SUM($H14:$I14))),"")</f>
        <v/>
      </c>
      <c r="AT14" t="str">
        <f>IF($B14=702,SUM($G14-(SUM($H14:$I14))),"")</f>
        <v/>
      </c>
      <c r="AU14" t="str">
        <f>IF($B14=731,SUM($G14-(SUM($H14:$I14))),"")</f>
        <v/>
      </c>
      <c r="AV14" t="str">
        <f>IF($B14=730,SUM($G14-(SUM($H14:$I14))),"")</f>
        <v/>
      </c>
    </row>
    <row r="15">
      <c r="B15" t="n" s="0">
        <v>734.0</v>
      </c>
      <c r="C15" t="s">
        <v>75</v>
      </c>
      <c r="D15" t="n">
        <f>D14+G15</f>
        <v>0.0</v>
      </c>
      <c r="F15" t="n">
        <f>SUM(H15:AV15)-G15</f>
        <v>0.0</v>
      </c>
      <c r="G15" s="2" t="n">
        <v>0.0</v>
      </c>
      <c r="H15" t="str">
        <f>IF(G15/23*3&gt;0,SUM(G15/23*3),"")</f>
        <v/>
      </c>
      <c r="I15" t="str">
        <f>IF(G15/23*3&lt;0,SUM(G15/23*3),"")</f>
        <v/>
      </c>
      <c r="J15" t="str">
        <f>IF($B15=707,SUM($G15-(SUM($H15:$I15))),"")</f>
        <v/>
      </c>
      <c r="K15" t="str">
        <f>IF($B15=706,SUM($G15-(SUM($H15:$I15))),"")</f>
        <v/>
      </c>
      <c r="L15" t="str">
        <f>IF($B15=703,SUM($G15-(SUM($H15:$I15))),"")</f>
        <v/>
      </c>
      <c r="M15" t="str">
        <f>IF($B15=704,SUM($G15-(SUM($H15:$I15))),"")</f>
        <v/>
      </c>
      <c r="N15" t="str">
        <f>IF($B15=709,SUM($G15-(SUM($H15:$I15))),"")</f>
        <v/>
      </c>
      <c r="O15" t="str">
        <f>IF($B15=738,SUM($G15-(SUM($H15:$I15))),"")</f>
        <v/>
      </c>
      <c r="P15" t="str">
        <f>IF($B15=739,SUM($G15-(SUM($H15:$I15))),"")</f>
        <v/>
      </c>
      <c r="Q15" t="str">
        <f>IF($B15=714,SUM($G15-(SUM($H15:$I15))),"")</f>
        <v/>
      </c>
      <c r="R15" t="str">
        <f>IF($B15=710,SUM($G15-(SUM($H15:$I15))),"")</f>
        <v/>
      </c>
      <c r="S15" t="str">
        <f>IF($B15=711,SUM($G15-(SUM($H15:$I15))),"")</f>
        <v/>
      </c>
      <c r="T15" t="str">
        <f>IF($B15=712,SUM($G15-(SUM($H15:$I15))),"")</f>
        <v/>
      </c>
      <c r="U15" t="str">
        <f>IF($B15=713,SUM($G15-(SUM($H15:$I15))),"")</f>
        <v/>
      </c>
      <c r="V15" t="str">
        <f>IF($B15=715,SUM($G15-(SUM($H15:$I15))),"")</f>
        <v/>
      </c>
      <c r="W15" t="str">
        <f>IF($B15=724,SUM($G15-(SUM($H15:$I15))),"")</f>
        <v/>
      </c>
      <c r="X15" t="str">
        <f>IF($B15=725,SUM($G15-(SUM($H15:$I15))),"")</f>
        <v/>
      </c>
      <c r="Y15" t="str">
        <f>IF($B15=726,SUM($G15-(SUM($H15:$I15))),"")</f>
        <v/>
      </c>
      <c r="Z15" t="str">
        <f>IF($B15=727,SUM($G15-(SUM($H15:$I15))),"")</f>
        <v/>
      </c>
      <c r="AA15" t="str">
        <f>IF($B15=728,SUM($G15-(SUM($H15:$I15))),"")</f>
        <v/>
      </c>
      <c r="AB15" t="str">
        <f>IF($B15=729,SUM($G15-(SUM($H15:$I15))),"")</f>
        <v/>
      </c>
      <c r="AC15" t="str">
        <f>IF($B15=730,SUM($G15-(SUM($H15:$I15))),"")</f>
        <v/>
      </c>
      <c r="AD15" t="str">
        <f>IF($B15=732,SUM($G15-(SUM($H15:$I15))),"")</f>
        <v/>
      </c>
      <c r="AE15" t="str">
        <f>IF($B15=733,SUM($G15-(SUM($H15:$I15))),"")</f>
        <v/>
      </c>
      <c r="AF15" t="n">
        <f>IF($B15=734,SUM($G15-(SUM($H15:$I15))),"")</f>
        <v>0.0</v>
      </c>
      <c r="AG15" t="str">
        <f>IF($B15=705,SUM($G15-(SUM($H15:$I15))),"")</f>
        <v/>
      </c>
      <c r="AH15" t="str">
        <f>IF($B15=735,SUM($G15-(SUM($H15:$I15))),"")</f>
        <v/>
      </c>
      <c r="AI15" t="str">
        <f>IF($B15=736,SUM($G15-(SUM($H15:$I15))),"")</f>
        <v/>
      </c>
      <c r="AJ15" t="str">
        <f>IF($B15=737,SUM($G15-(SUM($H15:$I15))),"")</f>
        <v/>
      </c>
      <c r="AK15" t="str">
        <f>IF($B15=725,SUM($G15-(SUM($H15:$I15))),"")</f>
        <v/>
      </c>
      <c r="AL15" t="str">
        <f>IF($B15=735,SUM($G15-(SUM($H15:$I15))),"")</f>
        <v/>
      </c>
      <c r="AM15" t="str">
        <f>IF($B15=727,SUM($G15-(SUM($H15:$I15))),"")</f>
        <v/>
      </c>
      <c r="AN15" t="str">
        <f>IF($B15=718,SUM($G15-(SUM($H15:$I15))),"")</f>
        <v/>
      </c>
      <c r="AO15" t="str">
        <f>IF($B15=719,SUM($G15-(SUM($H15:$I15))),"")</f>
        <v/>
      </c>
      <c r="AP15" t="str">
        <f>IF($B15=717,SUM($G15-(SUM($H15:$I15))),"")</f>
        <v/>
      </c>
      <c r="AQ15" t="str">
        <f>IF($B15=722,SUM($G15-(SUM($H15:$I15))),"")</f>
        <v/>
      </c>
      <c r="AR15" t="str">
        <f>IF($B15=708,SUM($G15-(SUM($H15:$I15))),"")</f>
        <v/>
      </c>
      <c r="AS15" t="str">
        <f>IF($B15=701,SUM($G15-(SUM($H15:$I15))),"")</f>
        <v/>
      </c>
      <c r="AT15" t="str">
        <f>IF($B15=702,SUM($G15-(SUM($H15:$I15))),"")</f>
        <v/>
      </c>
      <c r="AU15" t="str">
        <f>IF($B15=731,SUM($G15-(SUM($H15:$I15))),"")</f>
        <v/>
      </c>
      <c r="AV15" t="str">
        <f>IF($B15=730,SUM($G15-(SUM($H15:$I15))),"")</f>
        <v/>
      </c>
    </row>
    <row r="16">
      <c r="B16" t="n" s="0">
        <v>724.0</v>
      </c>
      <c r="C16" t="s">
        <v>66</v>
      </c>
      <c r="D16" t="n">
        <f>D15+G16</f>
        <v>0.0</v>
      </c>
      <c r="F16" t="n">
        <f>SUM(H16:AV16)-G16</f>
        <v>0.0</v>
      </c>
      <c r="G16" s="2" t="n">
        <v>0.0</v>
      </c>
      <c r="H16" t="str">
        <f>IF(G16/23*3&gt;0,SUM(G16/23*3),"")</f>
        <v/>
      </c>
      <c r="J16" t="str">
        <f>IF($B16=707,SUM($G16-(SUM($H16:$I16))),"")</f>
        <v/>
      </c>
      <c r="K16" t="str">
        <f>IF($B16=706,SUM($G16-(SUM($H16:$I16))),"")</f>
        <v/>
      </c>
      <c r="L16" t="str">
        <f>IF($B16=703,SUM($G16-(SUM($H16:$I16))),"")</f>
        <v/>
      </c>
      <c r="M16" t="str">
        <f>IF($B16=704,SUM($G16-(SUM($H16:$I16))),"")</f>
        <v/>
      </c>
      <c r="N16" t="str">
        <f>IF($B16=709,SUM($G16-(SUM($H16:$I16))),"")</f>
        <v/>
      </c>
      <c r="O16" t="str">
        <f>IF($B16=738,SUM($G16-(SUM($H16:$I16))),"")</f>
        <v/>
      </c>
      <c r="P16" t="str">
        <f>IF($B16=739,SUM($G16-(SUM($H16:$I16))),"")</f>
        <v/>
      </c>
      <c r="Q16" t="str">
        <f>IF($B16=714,SUM($G16-(SUM($H16:$I16))),"")</f>
        <v/>
      </c>
      <c r="R16" t="str">
        <f>IF($B16=710,SUM($G16-(SUM($H16:$I16))),"")</f>
        <v/>
      </c>
      <c r="S16" t="str">
        <f>IF($B16=711,SUM($G16-(SUM($H16:$I16))),"")</f>
        <v/>
      </c>
      <c r="T16" t="str">
        <f>IF($B16=712,SUM($G16-(SUM($H16:$I16))),"")</f>
        <v/>
      </c>
      <c r="U16" t="str">
        <f>IF($B16=713,SUM($G16-(SUM($H16:$I16))),"")</f>
        <v/>
      </c>
      <c r="V16" t="str">
        <f>IF($B16=715,SUM($G16-(SUM($H16:$I16))),"")</f>
        <v/>
      </c>
      <c r="W16" t="n">
        <f>IF($B16=724,SUM($G16-(SUM($H16:$I16))),"")</f>
        <v>0.0</v>
      </c>
      <c r="X16" t="str">
        <f>IF($B16=725,SUM($G16-(SUM($H16:$I16))),"")</f>
        <v/>
      </c>
      <c r="Y16" t="str">
        <f>IF($B16=726,SUM($G16-(SUM($H16:$I16))),"")</f>
        <v/>
      </c>
      <c r="Z16" t="str">
        <f>IF($B16=727,SUM($G16-(SUM($H16:$I16))),"")</f>
        <v/>
      </c>
      <c r="AA16" t="str">
        <f>IF($B16=728,SUM($G16-(SUM($H16:$I16))),"")</f>
        <v/>
      </c>
      <c r="AB16" t="str">
        <f>IF($B16=729,SUM($G16-(SUM($H16:$I16))),"")</f>
        <v/>
      </c>
      <c r="AC16" t="str">
        <f>IF($B16=730,SUM($G16-(SUM($H16:$I16))),"")</f>
        <v/>
      </c>
      <c r="AD16" t="str">
        <f>IF($B16=732,SUM($G16-(SUM($H16:$I16))),"")</f>
        <v/>
      </c>
      <c r="AE16" t="str">
        <f>IF($B16=733,SUM($G16-(SUM($H16:$I16))),"")</f>
        <v/>
      </c>
      <c r="AF16" t="str">
        <f>IF($B16=734,SUM($G16-(SUM($H16:$I16))),"")</f>
        <v/>
      </c>
      <c r="AG16" t="str">
        <f>IF($B16=705,SUM($G16-(SUM($H16:$I16))),"")</f>
        <v/>
      </c>
      <c r="AH16" t="str">
        <f>IF($B16=735,SUM($G16-(SUM($H16:$I16))),"")</f>
        <v/>
      </c>
      <c r="AI16" t="str">
        <f>IF($B16=736,SUM($G16-(SUM($H16:$I16))),"")</f>
        <v/>
      </c>
      <c r="AJ16" t="str">
        <f>IF($B16=737,SUM($G16-(SUM($H16:$I16))),"")</f>
        <v/>
      </c>
      <c r="AK16" t="str">
        <f>IF($B16=725,SUM($G16-(SUM($H16:$I16))),"")</f>
        <v/>
      </c>
      <c r="AL16" t="str">
        <f>IF($B16=735,SUM($G16-(SUM($H16:$I16))),"")</f>
        <v/>
      </c>
      <c r="AM16" t="str">
        <f>IF($B16=727,SUM($G16-(SUM($H16:$I16))),"")</f>
        <v/>
      </c>
      <c r="AN16" t="str">
        <f>IF($B16=718,SUM($G16-(SUM($H16:$I16))),"")</f>
        <v/>
      </c>
      <c r="AO16" t="str">
        <f>IF($B16=719,SUM($G16-(SUM($H16:$I16))),"")</f>
        <v/>
      </c>
      <c r="AP16" t="str">
        <f>IF($B16=717,SUM($G16-(SUM($H16:$I16))),"")</f>
        <v/>
      </c>
      <c r="AQ16" t="str">
        <f>IF($B16=722,SUM($G16-(SUM($H16:$I16))),"")</f>
        <v/>
      </c>
      <c r="AR16" t="str">
        <f>IF($B16=708,SUM($G16-(SUM($H16:$I16))),"")</f>
        <v/>
      </c>
      <c r="AS16" t="str">
        <f>IF($B16=701,SUM($G16-(SUM($H16:$I16))),"")</f>
        <v/>
      </c>
      <c r="AT16" t="str">
        <f>IF($B16=702,SUM($G16-(SUM($H16:$I16))),"")</f>
        <v/>
      </c>
      <c r="AU16" t="str">
        <f>IF($B16=731,SUM($G16-(SUM($H16:$I16))),"")</f>
        <v/>
      </c>
      <c r="AV16" t="str">
        <f>IF($B16=730,SUM($G16-(SUM($H16:$I16))),"")</f>
        <v/>
      </c>
    </row>
    <row r="17">
      <c r="B17" t="n" s="0">
        <v>710.0</v>
      </c>
      <c r="C17" t="s">
        <v>61</v>
      </c>
      <c r="D17" t="n">
        <f>D16+G17</f>
        <v>0.0</v>
      </c>
      <c r="F17" t="n">
        <f>SUM(H17:AV17)-G17</f>
        <v>0.0</v>
      </c>
      <c r="G17" s="2" t="n">
        <v>0.0</v>
      </c>
      <c r="H17" t="str">
        <f>IF(G17/23*3&gt;0,SUM(G17/23*3),"")</f>
        <v/>
      </c>
      <c r="J17" t="str">
        <f>IF($B17=707,SUM($G17-(SUM($H17:$I17))),"")</f>
        <v/>
      </c>
      <c r="K17" t="str">
        <f>IF($B17=706,SUM($G17-(SUM($H17:$I17))),"")</f>
        <v/>
      </c>
      <c r="L17" t="str">
        <f>IF($B17=703,SUM($G17-(SUM($H17:$I17))),"")</f>
        <v/>
      </c>
      <c r="M17" t="str">
        <f>IF($B17=704,SUM($G17-(SUM($H17:$I17))),"")</f>
        <v/>
      </c>
      <c r="N17" t="str">
        <f>IF($B17=709,SUM($G17-(SUM($H17:$I17))),"")</f>
        <v/>
      </c>
      <c r="O17" t="str">
        <f>IF($B17=738,SUM($G17-(SUM($H17:$I17))),"")</f>
        <v/>
      </c>
      <c r="P17" t="str">
        <f>IF($B17=739,SUM($G17-(SUM($H17:$I17))),"")</f>
        <v/>
      </c>
      <c r="Q17" t="str">
        <f>IF($B17=714,SUM($G17-(SUM($H17:$I17))),"")</f>
        <v/>
      </c>
      <c r="R17" t="n">
        <f>IF($B17=710,SUM($G17-(SUM($H17:$I17))),"")</f>
        <v>0.0</v>
      </c>
      <c r="S17" t="str">
        <f>IF($B17=711,SUM($G17-(SUM($H17:$I17))),"")</f>
        <v/>
      </c>
      <c r="T17" t="str">
        <f>IF($B17=712,SUM($G17-(SUM($H17:$I17))),"")</f>
        <v/>
      </c>
      <c r="U17" t="str">
        <f>IF($B17=713,SUM($G17-(SUM($H17:$I17))),"")</f>
        <v/>
      </c>
      <c r="V17" t="str">
        <f>IF($B17=715,SUM($G17-(SUM($H17:$I17))),"")</f>
        <v/>
      </c>
      <c r="W17" t="str">
        <f>IF($B17=724,SUM($G17-(SUM($H17:$I17))),"")</f>
        <v/>
      </c>
      <c r="X17" t="str">
        <f>IF($B17=725,SUM($G17-(SUM($H17:$I17))),"")</f>
        <v/>
      </c>
      <c r="Y17" t="str">
        <f>IF($B17=726,SUM($G17-(SUM($H17:$I17))),"")</f>
        <v/>
      </c>
      <c r="Z17" t="str">
        <f>IF($B17=727,SUM($G17-(SUM($H17:$I17))),"")</f>
        <v/>
      </c>
      <c r="AA17" t="str">
        <f>IF($B17=728,SUM($G17-(SUM($H17:$I17))),"")</f>
        <v/>
      </c>
      <c r="AB17" t="str">
        <f>IF($B17=729,SUM($G17-(SUM($H17:$I17))),"")</f>
        <v/>
      </c>
      <c r="AC17" t="str">
        <f>IF($B17=730,SUM($G17-(SUM($H17:$I17))),"")</f>
        <v/>
      </c>
      <c r="AD17" t="str">
        <f>IF($B17=732,SUM($G17-(SUM($H17:$I17))),"")</f>
        <v/>
      </c>
      <c r="AE17" t="str">
        <f>IF($B17=733,SUM($G17-(SUM($H17:$I17))),"")</f>
        <v/>
      </c>
      <c r="AF17" t="str">
        <f>IF($B17=734,SUM($G17-(SUM($H17:$I17))),"")</f>
        <v/>
      </c>
      <c r="AG17" t="str">
        <f>IF($B17=705,SUM($G17-(SUM($H17:$I17))),"")</f>
        <v/>
      </c>
      <c r="AH17" t="str">
        <f>IF($B17=735,SUM($G17-(SUM($H17:$I17))),"")</f>
        <v/>
      </c>
      <c r="AI17" t="str">
        <f>IF($B17=736,SUM($G17-(SUM($H17:$I17))),"")</f>
        <v/>
      </c>
      <c r="AJ17" t="str">
        <f>IF($B17=737,SUM($G17-(SUM($H17:$I17))),"")</f>
        <v/>
      </c>
      <c r="AK17" t="str">
        <f>IF($B17=725,SUM($G17-(SUM($H17:$I17))),"")</f>
        <v/>
      </c>
      <c r="AL17" t="str">
        <f>IF($B17=735,SUM($G17-(SUM($H17:$I17))),"")</f>
        <v/>
      </c>
      <c r="AM17" t="str">
        <f>IF($B17=727,SUM($G17-(SUM($H17:$I17))),"")</f>
        <v/>
      </c>
      <c r="AN17" t="str">
        <f>IF($B17=718,SUM($G17-(SUM($H17:$I17))),"")</f>
        <v/>
      </c>
      <c r="AO17" t="str">
        <f>IF($B17=719,SUM($G17-(SUM($H17:$I17))),"")</f>
        <v/>
      </c>
      <c r="AP17" t="str">
        <f>IF($B17=717,SUM($G17-(SUM($H17:$I17))),"")</f>
        <v/>
      </c>
      <c r="AQ17" t="str">
        <f>IF($B17=722,SUM($G17-(SUM($H17:$I17))),"")</f>
        <v/>
      </c>
      <c r="AR17" t="str">
        <f>IF($B17=708,SUM($G17-(SUM($H17:$I17))),"")</f>
        <v/>
      </c>
      <c r="AS17" t="str">
        <f>IF($B17=701,SUM($G17-(SUM($H17:$I17))),"")</f>
        <v/>
      </c>
      <c r="AT17" t="str">
        <f>IF($B17=702,SUM($G17-(SUM($H17:$I17))),"")</f>
        <v/>
      </c>
      <c r="AU17" t="str">
        <f>IF($B17=731,SUM($G17-(SUM($H17:$I17))),"")</f>
        <v/>
      </c>
      <c r="AV17" t="str">
        <f>IF($B17=730,SUM($G17-(SUM($H17:$I17))),"")</f>
        <v/>
      </c>
    </row>
    <row r="18">
      <c r="B18" t="n" s="0">
        <v>711.0</v>
      </c>
      <c r="C18" t="s">
        <v>82</v>
      </c>
      <c r="D18" t="n">
        <f>D17+G18</f>
        <v>0.0</v>
      </c>
      <c r="F18" t="n">
        <f>SUM(H18:AV18)-G18</f>
        <v>0.0</v>
      </c>
      <c r="G18" s="2" t="n">
        <v>0.0</v>
      </c>
      <c r="H18" t="str">
        <f>IF(G18/23*3&gt;0,SUM(G18/23*3),"")</f>
        <v/>
      </c>
      <c r="I18" t="str">
        <f>IF(G18/23*3&lt;0,SUM(G18/23*3),"")</f>
        <v/>
      </c>
      <c r="J18" t="str">
        <f>IF($B18=707,SUM($G18-(SUM($H18:$I18))),"")</f>
        <v/>
      </c>
      <c r="K18" t="str">
        <f>IF($B18=706,SUM($G18-(SUM($H18:$I18))),"")</f>
        <v/>
      </c>
      <c r="L18" t="str">
        <f>IF($B18=703,SUM($G18-(SUM($H18:$I18))),"")</f>
        <v/>
      </c>
      <c r="M18" t="str">
        <f>IF($B18=704,SUM($G18-(SUM($H18:$I18))),"")</f>
        <v/>
      </c>
      <c r="N18" t="str">
        <f>IF($B18=709,SUM($G18-(SUM($H18:$I18))),"")</f>
        <v/>
      </c>
      <c r="O18" t="str">
        <f>IF($B18=738,SUM($G18-(SUM($H18:$I18))),"")</f>
        <v/>
      </c>
      <c r="P18" t="str">
        <f>IF($B18=739,SUM($G18-(SUM($H18:$I18))),"")</f>
        <v/>
      </c>
      <c r="Q18" t="str">
        <f>IF($B18=714,SUM($G18-(SUM($H18:$I18))),"")</f>
        <v/>
      </c>
      <c r="R18" t="str">
        <f>IF($B18=710,SUM($G18-(SUM($H18:$I18))),"")</f>
        <v/>
      </c>
      <c r="S18" t="n">
        <f>IF($B18=711,SUM($G18-(SUM($H18:$I18))),"")</f>
        <v>0.0</v>
      </c>
      <c r="T18" t="str">
        <f>IF($B18=712,SUM($G18-(SUM($H18:$I18))),"")</f>
        <v/>
      </c>
      <c r="U18" t="str">
        <f>IF($B18=713,SUM($G18-(SUM($H18:$I18))),"")</f>
        <v/>
      </c>
      <c r="V18" t="str">
        <f>IF($B18=715,SUM($G18-(SUM($H18:$I18))),"")</f>
        <v/>
      </c>
      <c r="W18" t="str">
        <f>IF($B18=724,SUM($G18-(SUM($H18:$I18))),"")</f>
        <v/>
      </c>
      <c r="X18" t="str">
        <f>IF($B18=725,SUM($G18-(SUM($H18:$I18))),"")</f>
        <v/>
      </c>
      <c r="Y18" t="str">
        <f>IF($B18=726,SUM($G18-(SUM($H18:$I18))),"")</f>
        <v/>
      </c>
      <c r="Z18" t="str">
        <f>IF($B18=727,SUM($G18-(SUM($H18:$I18))),"")</f>
        <v/>
      </c>
      <c r="AA18" t="str">
        <f>IF($B18=728,SUM($G18-(SUM($H18:$I18))),"")</f>
        <v/>
      </c>
      <c r="AB18" t="str">
        <f>IF($B18=729,SUM($G18-(SUM($H18:$I18))),"")</f>
        <v/>
      </c>
      <c r="AC18" t="str">
        <f>IF($B18=730,SUM($G18-(SUM($H18:$I18))),"")</f>
        <v/>
      </c>
      <c r="AD18" t="str">
        <f>IF($B18=732,SUM($G18-(SUM($H18:$I18))),"")</f>
        <v/>
      </c>
      <c r="AE18" t="str">
        <f>IF($B18=733,SUM($G18-(SUM($H18:$I18))),"")</f>
        <v/>
      </c>
      <c r="AF18" t="str">
        <f>IF($B18=734,SUM($G18-(SUM($H18:$I18))),"")</f>
        <v/>
      </c>
      <c r="AG18" t="str">
        <f>IF($B18=705,SUM($G18-(SUM($H18:$I18))),"")</f>
        <v/>
      </c>
      <c r="AH18" t="str">
        <f>IF($B18=735,SUM($G18-(SUM($H18:$I18))),"")</f>
        <v/>
      </c>
      <c r="AI18" t="str">
        <f>IF($B18=736,SUM($G18-(SUM($H18:$I18))),"")</f>
        <v/>
      </c>
      <c r="AJ18" t="str">
        <f>IF($B18=737,SUM($G18-(SUM($H18:$I18))),"")</f>
        <v/>
      </c>
      <c r="AK18" t="str">
        <f>IF($B18=725,SUM($G18-(SUM($H18:$I18))),"")</f>
        <v/>
      </c>
      <c r="AL18" t="str">
        <f>IF($B18=735,SUM($G18-(SUM($H18:$I18))),"")</f>
        <v/>
      </c>
      <c r="AM18" t="str">
        <f>IF($B18=727,SUM($G18-(SUM($H18:$I18))),"")</f>
        <v/>
      </c>
      <c r="AN18" t="str">
        <f>IF($B18=718,SUM($G18-(SUM($H18:$I18))),"")</f>
        <v/>
      </c>
      <c r="AO18" t="str">
        <f>IF($B18=719,SUM($G18-(SUM($H18:$I18))),"")</f>
        <v/>
      </c>
      <c r="AP18" t="str">
        <f>IF($B18=717,SUM($G18-(SUM($H18:$I18))),"")</f>
        <v/>
      </c>
      <c r="AQ18" t="str">
        <f>IF($B18=722,SUM($G18-(SUM($H18:$I18))),"")</f>
        <v/>
      </c>
      <c r="AR18" t="str">
        <f>IF($B18=708,SUM($G18-(SUM($H18:$I18))),"")</f>
        <v/>
      </c>
      <c r="AS18" t="str">
        <f>IF($B18=701,SUM($G18-(SUM($H18:$I18))),"")</f>
        <v/>
      </c>
      <c r="AT18" t="str">
        <f>IF($B18=702,SUM($G18-(SUM($H18:$I18))),"")</f>
        <v/>
      </c>
      <c r="AU18" t="str">
        <f>IF($B18=731,SUM($G18-(SUM($H18:$I18))),"")</f>
        <v/>
      </c>
      <c r="AV18" t="str">
        <f>IF($B18=730,SUM($G18-(SUM($H18:$I18))),"")</f>
        <v/>
      </c>
    </row>
    <row r="19">
      <c r="B19" t="n" s="0">
        <v>733.0</v>
      </c>
      <c r="C19" t="s">
        <v>83</v>
      </c>
      <c r="D19" t="n">
        <f>D18+G19</f>
        <v>0.0</v>
      </c>
      <c r="F19" t="n">
        <f>SUM(H19:AV19)-G19</f>
        <v>0.0</v>
      </c>
      <c r="G19" s="2" t="n">
        <v>0.0</v>
      </c>
      <c r="H19" t="str">
        <f>IF(G19/23*3&gt;0,SUM(G19/23*3),"")</f>
        <v/>
      </c>
      <c r="I19" t="str">
        <f>IF(G19/23*3&lt;0,SUM(G19/23*3),"")</f>
        <v/>
      </c>
      <c r="J19" t="str">
        <f>IF($B19=707,SUM($G19-(SUM($H19:$I19))),"")</f>
        <v/>
      </c>
      <c r="K19" t="str">
        <f>IF($B19=706,SUM($G19-(SUM($H19:$I19))),"")</f>
        <v/>
      </c>
      <c r="L19" t="str">
        <f>IF($B19=703,SUM($G19-(SUM($H19:$I19))),"")</f>
        <v/>
      </c>
      <c r="M19" t="str">
        <f>IF($B19=704,SUM($G19-(SUM($H19:$I19))),"")</f>
        <v/>
      </c>
      <c r="N19" t="str">
        <f>IF($B19=709,SUM($G19-(SUM($H19:$I19))),"")</f>
        <v/>
      </c>
      <c r="O19" t="str">
        <f>IF($B19=738,SUM($G19-(SUM($H19:$I19))),"")</f>
        <v/>
      </c>
      <c r="P19" t="str">
        <f>IF($B19=739,SUM($G19-(SUM($H19:$I19))),"")</f>
        <v/>
      </c>
      <c r="Q19" t="str">
        <f>IF($B19=714,SUM($G19-(SUM($H19:$I19))),"")</f>
        <v/>
      </c>
      <c r="R19" t="str">
        <f>IF($B19=710,SUM($G19-(SUM($H19:$I19))),"")</f>
        <v/>
      </c>
      <c r="S19" t="str">
        <f>IF($B19=711,SUM($G19-(SUM($H19:$I19))),"")</f>
        <v/>
      </c>
      <c r="T19" t="str">
        <f>IF($B19=712,SUM($G19-(SUM($H19:$I19))),"")</f>
        <v/>
      </c>
      <c r="U19" t="str">
        <f>IF($B19=713,SUM($G19-(SUM($H19:$I19))),"")</f>
        <v/>
      </c>
      <c r="V19" t="str">
        <f>IF($B19=715,SUM($G19-(SUM($H19:$I19))),"")</f>
        <v/>
      </c>
      <c r="W19" t="str">
        <f>IF($B19=724,SUM($G19-(SUM($H19:$I19))),"")</f>
        <v/>
      </c>
      <c r="X19" t="str">
        <f>IF($B19=725,SUM($G19-(SUM($H19:$I19))),"")</f>
        <v/>
      </c>
      <c r="Y19" t="str">
        <f>IF($B19=726,SUM($G19-(SUM($H19:$I19))),"")</f>
        <v/>
      </c>
      <c r="Z19" t="str">
        <f>IF($B19=727,SUM($G19-(SUM($H19:$I19))),"")</f>
        <v/>
      </c>
      <c r="AA19" t="str">
        <f>IF($B19=728,SUM($G19-(SUM($H19:$I19))),"")</f>
        <v/>
      </c>
      <c r="AB19" t="str">
        <f>IF($B19=729,SUM($G19-(SUM($H19:$I19))),"")</f>
        <v/>
      </c>
      <c r="AC19" t="str">
        <f>IF($B19=730,SUM($G19-(SUM($H19:$I19))),"")</f>
        <v/>
      </c>
      <c r="AD19" t="str">
        <f>IF($B19=732,SUM($G19-(SUM($H19:$I19))),"")</f>
        <v/>
      </c>
      <c r="AE19" t="n">
        <f>IF($B19=733,SUM($G19-(SUM($H19:$I19))),"")</f>
        <v>0.0</v>
      </c>
      <c r="AF19" t="str">
        <f>IF($B19=734,SUM($G19-(SUM($H19:$I19))),"")</f>
        <v/>
      </c>
      <c r="AG19" t="str">
        <f>IF($B19=705,SUM($G19-(SUM($H19:$I19))),"")</f>
        <v/>
      </c>
      <c r="AH19" t="str">
        <f>IF($B19=735,SUM($G19-(SUM($H19:$I19))),"")</f>
        <v/>
      </c>
      <c r="AI19" t="str">
        <f>IF($B19=736,SUM($G19-(SUM($H19:$I19))),"")</f>
        <v/>
      </c>
      <c r="AJ19" t="str">
        <f>IF($B19=737,SUM($G19-(SUM($H19:$I19))),"")</f>
        <v/>
      </c>
      <c r="AK19" t="str">
        <f>IF($B19=725,SUM($G19-(SUM($H19:$I19))),"")</f>
        <v/>
      </c>
      <c r="AL19" t="str">
        <f>IF($B19=735,SUM($G19-(SUM($H19:$I19))),"")</f>
        <v/>
      </c>
      <c r="AM19" t="str">
        <f>IF($B19=727,SUM($G19-(SUM($H19:$I19))),"")</f>
        <v/>
      </c>
      <c r="AN19" t="str">
        <f>IF($B19=718,SUM($G19-(SUM($H19:$I19))),"")</f>
        <v/>
      </c>
      <c r="AO19" t="str">
        <f>IF($B19=719,SUM($G19-(SUM($H19:$I19))),"")</f>
        <v/>
      </c>
      <c r="AP19" t="str">
        <f>IF($B19=717,SUM($G19-(SUM($H19:$I19))),"")</f>
        <v/>
      </c>
      <c r="AQ19" t="str">
        <f>IF($B19=722,SUM($G19-(SUM($H19:$I19))),"")</f>
        <v/>
      </c>
      <c r="AR19" t="str">
        <f>IF($B19=708,SUM($G19-(SUM($H19:$I19))),"")</f>
        <v/>
      </c>
      <c r="AS19" t="str">
        <f>IF($B19=701,SUM($G19-(SUM($H19:$I19))),"")</f>
        <v/>
      </c>
      <c r="AT19" t="str">
        <f>IF($B19=702,SUM($G19-(SUM($H19:$I19))),"")</f>
        <v/>
      </c>
      <c r="AU19" t="str">
        <f>IF($B19=731,SUM($G19-(SUM($H19:$I19))),"")</f>
        <v/>
      </c>
      <c r="AV19" t="str">
        <f>IF($B19=730,SUM($G19-(SUM($H19:$I19))),"")</f>
        <v/>
      </c>
    </row>
    <row r="20">
      <c r="B20" t="n" s="0">
        <v>739.0</v>
      </c>
      <c r="C20" t="s">
        <v>84</v>
      </c>
      <c r="D20" t="n">
        <f>D19+G20</f>
        <v>0.0</v>
      </c>
      <c r="F20" t="n">
        <f>SUM(H20:AV20)-G20</f>
        <v>0.0</v>
      </c>
      <c r="G20" s="2" t="n">
        <v>0.0</v>
      </c>
      <c r="H20" t="str">
        <f>IF(G20/23*3&gt;0,SUM(G20/23*3),"")</f>
        <v/>
      </c>
      <c r="I20" t="n">
        <v>0.0</v>
      </c>
      <c r="J20" t="str">
        <f>IF($B20=707,SUM($G20-(SUM($H20:$I20))),"")</f>
        <v/>
      </c>
      <c r="K20" t="str">
        <f>IF($B20=706,SUM($G20-(SUM($H20:$I20))),"")</f>
        <v/>
      </c>
      <c r="L20" t="str">
        <f>IF($B20=703,SUM($G20-(SUM($H20:$I20))),"")</f>
        <v/>
      </c>
      <c r="M20" t="str">
        <f>IF($B20=704,SUM($G20-(SUM($H20:$I20))),"")</f>
        <v/>
      </c>
      <c r="N20" t="str">
        <f>IF($B20=709,SUM($G20-(SUM($H20:$I20))),"")</f>
        <v/>
      </c>
      <c r="O20" t="str">
        <f>IF($B20=738,SUM($G20-(SUM($H20:$I20))),"")</f>
        <v/>
      </c>
      <c r="P20" t="n">
        <f>IF($B20=739,SUM($G20-(SUM($H20:$I20))),"")</f>
        <v>0.0</v>
      </c>
      <c r="Q20" t="str">
        <f>IF($B20=714,SUM($G20-(SUM($H20:$I20))),"")</f>
        <v/>
      </c>
      <c r="R20" t="str">
        <f>IF($B20=710,SUM($G20-(SUM($H20:$I20))),"")</f>
        <v/>
      </c>
      <c r="S20" t="str">
        <f>IF($B20=711,SUM($G20-(SUM($H20:$I20))),"")</f>
        <v/>
      </c>
      <c r="T20" t="str">
        <f>IF($B20=712,SUM($G20-(SUM($H20:$I20))),"")</f>
        <v/>
      </c>
      <c r="U20" t="str">
        <f>IF($B20=713,SUM($G20-(SUM($H20:$I20))),"")</f>
        <v/>
      </c>
      <c r="V20" t="str">
        <f>IF($B20=715,SUM($G20-(SUM($H20:$I20))),"")</f>
        <v/>
      </c>
      <c r="W20" t="str">
        <f>IF($B20=724,SUM($G20-(SUM($H20:$I20))),"")</f>
        <v/>
      </c>
      <c r="X20" t="str">
        <f>IF($B20=725,SUM($G20-(SUM($H20:$I20))),"")</f>
        <v/>
      </c>
      <c r="Y20" t="str">
        <f>IF($B20=726,SUM($G20-(SUM($H20:$I20))),"")</f>
        <v/>
      </c>
      <c r="Z20" t="str">
        <f>IF($B20=727,SUM($G20-(SUM($H20:$I20))),"")</f>
        <v/>
      </c>
      <c r="AA20" t="str">
        <f>IF($B20=728,SUM($G20-(SUM($H20:$I20))),"")</f>
        <v/>
      </c>
      <c r="AB20" t="str">
        <f>IF($B20=729,SUM($G20-(SUM($H20:$I20))),"")</f>
        <v/>
      </c>
      <c r="AC20" t="str">
        <f>IF($B20=730,SUM($G20-(SUM($H20:$I20))),"")</f>
        <v/>
      </c>
      <c r="AD20" t="str">
        <f>IF($B20=732,SUM($G20-(SUM($H20:$I20))),"")</f>
        <v/>
      </c>
      <c r="AE20" t="str">
        <f>IF($B20=733,SUM($G20-(SUM($H20:$I20))),"")</f>
        <v/>
      </c>
      <c r="AF20" t="str">
        <f>IF($B20=734,SUM($G20-(SUM($H20:$I20))),"")</f>
        <v/>
      </c>
      <c r="AG20" t="str">
        <f>IF($B20=705,SUM($G20-(SUM($H20:$I20))),"")</f>
        <v/>
      </c>
      <c r="AH20" t="str">
        <f>IF($B20=735,SUM($G20-(SUM($H20:$I20))),"")</f>
        <v/>
      </c>
      <c r="AI20" t="str">
        <f>IF($B20=736,SUM($G20-(SUM($H20:$I20))),"")</f>
        <v/>
      </c>
      <c r="AJ20" t="str">
        <f>IF($B20=737,SUM($G20-(SUM($H20:$I20))),"")</f>
        <v/>
      </c>
      <c r="AK20" t="str">
        <f>IF($B20=725,SUM($G20-(SUM($H20:$I20))),"")</f>
        <v/>
      </c>
      <c r="AL20" t="str">
        <f>IF($B20=735,SUM($G20-(SUM($H20:$I20))),"")</f>
        <v/>
      </c>
      <c r="AM20" t="str">
        <f>IF($B20=727,SUM($G20-(SUM($H20:$I20))),"")</f>
        <v/>
      </c>
      <c r="AN20" t="str">
        <f>IF($B20=718,SUM($G20-(SUM($H20:$I20))),"")</f>
        <v/>
      </c>
      <c r="AO20" t="str">
        <f>IF($B20=719,SUM($G20-(SUM($H20:$I20))),"")</f>
        <v/>
      </c>
      <c r="AP20" t="str">
        <f>IF($B20=717,SUM($G20-(SUM($H20:$I20))),"")</f>
        <v/>
      </c>
      <c r="AQ20" t="str">
        <f>IF($B20=722,SUM($G20-(SUM($H20:$I20))),"")</f>
        <v/>
      </c>
      <c r="AR20" t="str">
        <f>IF($B20=708,SUM($G20-(SUM($H20:$I20))),"")</f>
        <v/>
      </c>
      <c r="AS20" t="str">
        <f>IF($B20=701,SUM($G20-(SUM($H20:$I20))),"")</f>
        <v/>
      </c>
      <c r="AT20" t="str">
        <f>IF($B20=702,SUM($G20-(SUM($H20:$I20))),"")</f>
        <v/>
      </c>
      <c r="AU20" t="str">
        <f>IF($B20=731,SUM($G20-(SUM($H20:$I20))),"")</f>
        <v/>
      </c>
      <c r="AV20" t="str">
        <f>IF($B20=730,SUM($G20-(SUM($H20:$I20))),"")</f>
        <v/>
      </c>
    </row>
    <row r="21">
      <c r="B21" t="n" s="0">
        <v>739.0</v>
      </c>
      <c r="C21" t="s">
        <v>84</v>
      </c>
      <c r="D21" t="n">
        <f>D20+G21</f>
        <v>0.0</v>
      </c>
      <c r="F21" t="n">
        <f>SUM(H21:AV21)-G21</f>
        <v>0.0</v>
      </c>
      <c r="G21" s="2" t="n">
        <v>0.0</v>
      </c>
      <c r="H21" t="str">
        <f>IF(G21/23*3&gt;0,SUM(G21/23*3),"")</f>
        <v/>
      </c>
      <c r="I21" t="n">
        <v>0.0</v>
      </c>
      <c r="J21" t="str">
        <f>IF($B21=707,SUM($G21-(SUM($H21:$I21))),"")</f>
        <v/>
      </c>
      <c r="K21" t="str">
        <f>IF($B21=706,SUM($G21-(SUM($H21:$I21))),"")</f>
        <v/>
      </c>
      <c r="L21" t="str">
        <f>IF($B21=703,SUM($G21-(SUM($H21:$I21))),"")</f>
        <v/>
      </c>
      <c r="M21" t="str">
        <f>IF($B21=704,SUM($G21-(SUM($H21:$I21))),"")</f>
        <v/>
      </c>
      <c r="N21" t="str">
        <f>IF($B21=709,SUM($G21-(SUM($H21:$I21))),"")</f>
        <v/>
      </c>
      <c r="O21" t="str">
        <f>IF($B21=738,SUM($G21-(SUM($H21:$I21))),"")</f>
        <v/>
      </c>
      <c r="P21" t="n">
        <f>IF($B21=739,SUM($G21-(SUM($H21:$I21))),"")</f>
        <v>0.0</v>
      </c>
      <c r="Q21" t="str">
        <f>IF($B21=714,SUM($G21-(SUM($H21:$I21))),"")</f>
        <v/>
      </c>
      <c r="R21" t="str">
        <f>IF($B21=710,SUM($G21-(SUM($H21:$I21))),"")</f>
        <v/>
      </c>
      <c r="S21" t="str">
        <f>IF($B21=711,SUM($G21-(SUM($H21:$I21))),"")</f>
        <v/>
      </c>
      <c r="T21" t="str">
        <f>IF($B21=712,SUM($G21-(SUM($H21:$I21))),"")</f>
        <v/>
      </c>
      <c r="U21" t="str">
        <f>IF($B21=713,SUM($G21-(SUM($H21:$I21))),"")</f>
        <v/>
      </c>
      <c r="V21" t="str">
        <f>IF($B21=715,SUM($G21-(SUM($H21:$I21))),"")</f>
        <v/>
      </c>
      <c r="W21" t="str">
        <f>IF($B21=724,SUM($G21-(SUM($H21:$I21))),"")</f>
        <v/>
      </c>
      <c r="X21" t="str">
        <f>IF($B21=725,SUM($G21-(SUM($H21:$I21))),"")</f>
        <v/>
      </c>
      <c r="Y21" t="str">
        <f>IF($B21=726,SUM($G21-(SUM($H21:$I21))),"")</f>
        <v/>
      </c>
      <c r="Z21" t="str">
        <f>IF($B21=727,SUM($G21-(SUM($H21:$I21))),"")</f>
        <v/>
      </c>
      <c r="AA21" t="str">
        <f>IF($B21=728,SUM($G21-(SUM($H21:$I21))),"")</f>
        <v/>
      </c>
      <c r="AB21" t="str">
        <f>IF($B21=729,SUM($G21-(SUM($H21:$I21))),"")</f>
        <v/>
      </c>
      <c r="AC21" t="str">
        <f>IF($B21=730,SUM($G21-(SUM($H21:$I21))),"")</f>
        <v/>
      </c>
      <c r="AD21" t="str">
        <f>IF($B21=732,SUM($G21-(SUM($H21:$I21))),"")</f>
        <v/>
      </c>
      <c r="AE21" t="str">
        <f>IF($B21=733,SUM($G21-(SUM($H21:$I21))),"")</f>
        <v/>
      </c>
      <c r="AF21" t="str">
        <f>IF($B21=734,SUM($G21-(SUM($H21:$I21))),"")</f>
        <v/>
      </c>
      <c r="AG21" t="str">
        <f>IF($B21=705,SUM($G21-(SUM($H21:$I21))),"")</f>
        <v/>
      </c>
      <c r="AH21" t="str">
        <f>IF($B21=735,SUM($G21-(SUM($H21:$I21))),"")</f>
        <v/>
      </c>
      <c r="AI21" t="str">
        <f>IF($B21=736,SUM($G21-(SUM($H21:$I21))),"")</f>
        <v/>
      </c>
      <c r="AJ21" t="str">
        <f>IF($B21=737,SUM($G21-(SUM($H21:$I21))),"")</f>
        <v/>
      </c>
      <c r="AK21" t="str">
        <f>IF($B21=725,SUM($G21-(SUM($H21:$I21))),"")</f>
        <v/>
      </c>
      <c r="AL21" t="str">
        <f>IF($B21=735,SUM($G21-(SUM($H21:$I21))),"")</f>
        <v/>
      </c>
      <c r="AM21" t="str">
        <f>IF($B21=727,SUM($G21-(SUM($H21:$I21))),"")</f>
        <v/>
      </c>
      <c r="AN21" t="str">
        <f>IF($B21=718,SUM($G21-(SUM($H21:$I21))),"")</f>
        <v/>
      </c>
      <c r="AO21" t="str">
        <f>IF($B21=719,SUM($G21-(SUM($H21:$I21))),"")</f>
        <v/>
      </c>
      <c r="AP21" t="str">
        <f>IF($B21=717,SUM($G21-(SUM($H21:$I21))),"")</f>
        <v/>
      </c>
      <c r="AQ21" t="str">
        <f>IF($B21=722,SUM($G21-(SUM($H21:$I21))),"")</f>
        <v/>
      </c>
      <c r="AR21" t="str">
        <f>IF($B21=708,SUM($G21-(SUM($H21:$I21))),"")</f>
        <v/>
      </c>
      <c r="AS21" t="str">
        <f>IF($B21=701,SUM($G21-(SUM($H21:$I21))),"")</f>
        <v/>
      </c>
      <c r="AT21" t="str">
        <f>IF($B21=702,SUM($G21-(SUM($H21:$I21))),"")</f>
        <v/>
      </c>
      <c r="AU21" t="str">
        <f>IF($B21=731,SUM($G21-(SUM($H21:$I21))),"")</f>
        <v/>
      </c>
      <c r="AV21" t="str">
        <f>IF($B21=730,SUM($G21-(SUM($H21:$I21))),"")</f>
        <v/>
      </c>
    </row>
    <row r="22">
      <c r="B22" t="n" s="0">
        <v>730.0</v>
      </c>
      <c r="C22" t="s">
        <v>85</v>
      </c>
      <c r="D22" t="n">
        <f>D21+G22</f>
        <v>0.0</v>
      </c>
      <c r="F22" t="n">
        <f>SUM(H22:AV22)-G22</f>
        <v>0.0</v>
      </c>
      <c r="G22" s="2" t="n">
        <v>0.0</v>
      </c>
      <c r="H22" t="str">
        <f>IF(G22/23*3&gt;0,SUM(G22/23*3),"")</f>
        <v/>
      </c>
      <c r="I22" t="str">
        <f>IF(G22/23*3&lt;0,SUM(G22/23*3),"")</f>
        <v/>
      </c>
      <c r="J22" t="str">
        <f>IF($B22=707,SUM($G22-(SUM($H22:$I22))),"")</f>
        <v/>
      </c>
      <c r="K22" t="str">
        <f>IF($B22=706,SUM($G22-(SUM($H22:$I22))),"")</f>
        <v/>
      </c>
      <c r="L22" t="str">
        <f>IF($B22=703,SUM($G22-(SUM($H22:$I22))),"")</f>
        <v/>
      </c>
      <c r="M22" t="str">
        <f>IF($B22=704,SUM($G22-(SUM($H22:$I22))),"")</f>
        <v/>
      </c>
      <c r="N22" t="str">
        <f>IF($B22=709,SUM($G22-(SUM($H22:$I22))),"")</f>
        <v/>
      </c>
      <c r="O22" t="str">
        <f>IF($B22=738,SUM($G22-(SUM($H22:$I22))),"")</f>
        <v/>
      </c>
      <c r="P22" t="str">
        <f>IF($B22=739,SUM($G22-(SUM($H22:$I22))),"")</f>
        <v/>
      </c>
      <c r="Q22" t="str">
        <f>IF($B22=714,SUM($G22-(SUM($H22:$I22))),"")</f>
        <v/>
      </c>
      <c r="R22" t="str">
        <f>IF($B22=710,SUM($G22-(SUM($H22:$I22))),"")</f>
        <v/>
      </c>
      <c r="S22" t="str">
        <f>IF($B22=711,SUM($G22-(SUM($H22:$I22))),"")</f>
        <v/>
      </c>
      <c r="T22" t="str">
        <f>IF($B22=712,SUM($G22-(SUM($H22:$I22))),"")</f>
        <v/>
      </c>
      <c r="U22" t="str">
        <f>IF($B22=713,SUM($G22-(SUM($H22:$I22))),"")</f>
        <v/>
      </c>
      <c r="V22" t="str">
        <f>IF($B22=715,SUM($G22-(SUM($H22:$I22))),"")</f>
        <v/>
      </c>
      <c r="W22" t="str">
        <f>IF($B22=724,SUM($G22-(SUM($H22:$I22))),"")</f>
        <v/>
      </c>
      <c r="X22" t="str">
        <f>IF($B22=725,SUM($G22-(SUM($H22:$I22))),"")</f>
        <v/>
      </c>
      <c r="Y22" t="str">
        <f>IF($B22=726,SUM($G22-(SUM($H22:$I22))),"")</f>
        <v/>
      </c>
      <c r="Z22" t="str">
        <f>IF($B22=727,SUM($G22-(SUM($H22:$I22))),"")</f>
        <v/>
      </c>
      <c r="AA22" t="str">
        <f>IF($B22=728,SUM($G22-(SUM($H22:$I22))),"")</f>
        <v/>
      </c>
      <c r="AB22" t="str">
        <f>IF($B22=729,SUM($G22-(SUM($H22:$I22))),"")</f>
        <v/>
      </c>
      <c r="AC22" t="n">
        <f>IF($B22=730,SUM($G22-(SUM($H22:$I22))),"")</f>
        <v>0.0</v>
      </c>
      <c r="AD22" t="str">
        <f>IF($B22=732,SUM($G22-(SUM($H22:$I22))),"")</f>
        <v/>
      </c>
      <c r="AE22" t="str">
        <f>IF($B22=733,SUM($G22-(SUM($H22:$I22))),"")</f>
        <v/>
      </c>
      <c r="AF22" t="str">
        <f>IF($B22=734,SUM($G22-(SUM($H22:$I22))),"")</f>
        <v/>
      </c>
      <c r="AG22" t="str">
        <f>IF($B22=705,SUM($G22-(SUM($H22:$I22))),"")</f>
        <v/>
      </c>
      <c r="AH22" t="str">
        <f>IF($B22=735,SUM($G22-(SUM($H22:$I22))),"")</f>
        <v/>
      </c>
      <c r="AI22" t="str">
        <f>IF($B22=736,SUM($G22-(SUM($H22:$I22))),"")</f>
        <v/>
      </c>
      <c r="AJ22" t="str">
        <f>IF($B22=737,SUM($G22-(SUM($H22:$I22))),"")</f>
        <v/>
      </c>
      <c r="AK22" t="str">
        <f>IF($B22=725,SUM($G22-(SUM($H22:$I22))),"")</f>
        <v/>
      </c>
      <c r="AL22" t="str">
        <f>IF($B22=735,SUM($G22-(SUM($H22:$I22))),"")</f>
        <v/>
      </c>
      <c r="AM22" t="str">
        <f>IF($B22=727,SUM($G22-(SUM($H22:$I22))),"")</f>
        <v/>
      </c>
      <c r="AN22" t="str">
        <f>IF($B22=718,SUM($G22-(SUM($H22:$I22))),"")</f>
        <v/>
      </c>
      <c r="AO22" t="str">
        <f>IF($B22=719,SUM($G22-(SUM($H22:$I22))),"")</f>
        <v/>
      </c>
      <c r="AP22" t="str">
        <f>IF($B22=717,SUM($G22-(SUM($H22:$I22))),"")</f>
        <v/>
      </c>
      <c r="AQ22" t="str">
        <f>IF($B22=722,SUM($G22-(SUM($H22:$I22))),"")</f>
        <v/>
      </c>
      <c r="AR22" t="str">
        <f>IF($B22=708,SUM($G22-(SUM($H22:$I22))),"")</f>
        <v/>
      </c>
      <c r="AS22" t="str">
        <f>IF($B22=701,SUM($G22-(SUM($H22:$I22))),"")</f>
        <v/>
      </c>
      <c r="AT22" t="str">
        <f>IF($B22=702,SUM($G22-(SUM($H22:$I22))),"")</f>
        <v/>
      </c>
      <c r="AU22" t="str">
        <f>IF($B22=731,SUM($G22-(SUM($H22:$I22))),"")</f>
        <v/>
      </c>
      <c r="AV22" t="n">
        <f>IF($B22=730,SUM($G22-(SUM($H22:$I22))),"")</f>
        <v>0.0</v>
      </c>
    </row>
    <row r="23">
      <c r="D23" t="n" s="0">
        <f>D22+G23</f>
        <v>0.0</v>
      </c>
      <c r="F23" t="n" s="0">
        <f>SUM(H23:AV23)-G23</f>
        <v>0.0</v>
      </c>
      <c r="H23" t="str" s="0">
        <f>IF(G23/23*3&gt;0,SUM(G23/23*3),"")</f>
        <v/>
      </c>
      <c r="I23" t="str" s="0">
        <f>IF(G23/23*3&lt;0,SUM(G23/23*3),"")</f>
        <v/>
      </c>
      <c r="J23" t="str" s="0">
        <f>IF($B23=707,SUM($G23-(SUM($H23:$I23))),"")</f>
        <v/>
      </c>
      <c r="K23" t="str" s="0">
        <f>IF($B23=706,SUM($G23-(SUM($H23:$I23))),"")</f>
        <v/>
      </c>
      <c r="L23" t="str" s="0">
        <f>IF($B23=703,SUM($G23-(SUM($H23:$I23))),"")</f>
        <v/>
      </c>
      <c r="M23" t="str" s="0">
        <f>IF($B23=704,SUM($G23-(SUM($H23:$I23))),"")</f>
        <v/>
      </c>
      <c r="N23" t="str" s="0">
        <f>IF($B23=709,SUM($G23-(SUM($H23:$I23))),"")</f>
        <v/>
      </c>
      <c r="O23" t="str" s="0">
        <f>IF($B23=738,SUM($G23-(SUM($H23:$I23))),"")</f>
        <v/>
      </c>
      <c r="P23" t="str" s="0">
        <f>IF($B23=739,SUM($G23-(SUM($H23:$I23))),"")</f>
        <v/>
      </c>
      <c r="Q23" t="str" s="0">
        <f>IF($B23=714,SUM($G23-(SUM($H23:$I23))),"")</f>
        <v/>
      </c>
      <c r="R23" t="str" s="0">
        <f>IF($B23=710,SUM($G23-(SUM($H23:$I23))),"")</f>
        <v/>
      </c>
      <c r="S23" t="str" s="0">
        <f>IF($B23=711,SUM($G23-(SUM($H23:$I23))),"")</f>
        <v/>
      </c>
      <c r="T23" t="str" s="0">
        <f>IF($B23=712,SUM($G23-(SUM($H23:$I23))),"")</f>
        <v/>
      </c>
      <c r="U23" t="str" s="0">
        <f>IF($B23=713,SUM($G23-(SUM($H23:$I23))),"")</f>
        <v/>
      </c>
      <c r="V23" t="str" s="0">
        <f>IF($B23=715,SUM($G23-(SUM($H23:$I23))),"")</f>
        <v/>
      </c>
      <c r="W23" t="str" s="0">
        <f>IF($B23=724,SUM($G23-(SUM($H23:$I23))),"")</f>
        <v/>
      </c>
      <c r="X23" t="str" s="0">
        <f>IF($B23=725,SUM($G23-(SUM($H23:$I23))),"")</f>
        <v/>
      </c>
      <c r="Y23" t="str" s="0">
        <f>IF($B23=726,SUM($G23-(SUM($H23:$I23))),"")</f>
        <v/>
      </c>
      <c r="Z23" t="str" s="0">
        <f>IF($B23=727,SUM($G23-(SUM($H23:$I23))),"")</f>
        <v/>
      </c>
      <c r="AA23" t="str" s="0">
        <f>IF($B23=728,SUM($G23-(SUM($H23:$I23))),"")</f>
        <v/>
      </c>
      <c r="AB23" t="str" s="0">
        <f>IF($B23=729,SUM($G23-(SUM($H23:$I23))),"")</f>
        <v/>
      </c>
      <c r="AC23" t="str" s="0">
        <f>IF($B23=730,SUM($G23-(SUM($H23:$I23))),"")</f>
        <v/>
      </c>
      <c r="AD23" t="str" s="0">
        <f>IF($B23=732,SUM($G23-(SUM($H23:$I23))),"")</f>
        <v/>
      </c>
      <c r="AE23" t="str" s="0">
        <f>IF($B23=733,SUM($G23-(SUM($H23:$I23))),"")</f>
        <v/>
      </c>
      <c r="AF23" t="str" s="0">
        <f>IF($B23=734,SUM($G23-(SUM($H23:$I23))),"")</f>
        <v/>
      </c>
      <c r="AG23" t="str" s="0">
        <f>IF($B23=705,SUM($G23-(SUM($H23:$I23))),"")</f>
        <v/>
      </c>
      <c r="AH23" t="str" s="0">
        <f>IF($B23=735,SUM($G23-(SUM($H23:$I23))),"")</f>
        <v/>
      </c>
      <c r="AI23" t="str" s="0">
        <f>IF($B23=736,SUM($G23-(SUM($H23:$I23))),"")</f>
        <v/>
      </c>
      <c r="AJ23" t="str" s="0">
        <f>IF($B23=737,SUM($G23-(SUM($H23:$I23))),"")</f>
        <v/>
      </c>
      <c r="AK23" t="str" s="0">
        <f>IF($B23=725,SUM($G23-(SUM($H23:$I23))),"")</f>
        <v/>
      </c>
      <c r="AL23" t="str" s="0">
        <f>IF($B23=735,SUM($G23-(SUM($H23:$I23))),"")</f>
        <v/>
      </c>
      <c r="AM23" t="str" s="0">
        <f>IF($B23=727,SUM($G23-(SUM($H23:$I23))),"")</f>
        <v/>
      </c>
      <c r="AN23" t="str" s="0">
        <f>IF($B23=718,SUM($G23-(SUM($H23:$I23))),"")</f>
        <v/>
      </c>
      <c r="AO23" t="str" s="0">
        <f>IF($B23=719,SUM($G23-(SUM($H23:$I23))),"")</f>
        <v/>
      </c>
      <c r="AP23" t="str" s="0">
        <f>IF($B23=717,SUM($G23-(SUM($H23:$I23))),"")</f>
        <v/>
      </c>
      <c r="AQ23" t="str" s="0">
        <f>IF($B23=722,SUM($G23-(SUM($H23:$I23))),"")</f>
        <v/>
      </c>
      <c r="AR23" t="str" s="0">
        <f>IF($B23=708,SUM($G23-(SUM($H23:$I23))),"")</f>
        <v/>
      </c>
      <c r="AS23" t="str" s="0">
        <f>IF($B23=701,SUM($G23-(SUM($H23:$I23))),"")</f>
        <v/>
      </c>
      <c r="AT23" t="str" s="0">
        <f>IF($B23=702,SUM($G23-(SUM($H23:$I23))),"")</f>
        <v/>
      </c>
      <c r="AU23" t="str" s="0">
        <f>IF($B23=731,SUM($G23-(SUM($H23:$I23))),"")</f>
        <v/>
      </c>
      <c r="AV23" t="str" s="0">
        <f>IF($B23=730,SUM($G23-(SUM($H23:$I23))),"")</f>
        <v/>
      </c>
    </row>
    <row r="24">
      <c r="B24" t="n" s="0">
        <v>707.0</v>
      </c>
      <c r="C24" t="s">
        <v>86</v>
      </c>
      <c r="D24" t="n">
        <f>D23+G24</f>
        <v>0.0</v>
      </c>
      <c r="F24" t="n">
        <f>SUM(H24:AV24)-G24</f>
        <v>0.0</v>
      </c>
      <c r="G24" s="2" t="n">
        <v>0.0</v>
      </c>
      <c r="H24" t="str">
        <f>IF(G24/23*3&gt;0,SUM(G24/23*3),"")</f>
        <v/>
      </c>
      <c r="I24" t="str">
        <f>IF(G24/23*3&lt;0,SUM(G24/23*3),"")</f>
        <v/>
      </c>
      <c r="J24" t="n">
        <f>IF($B24=707,SUM($G24-(SUM($H24:$I24))),"")</f>
        <v>0.0</v>
      </c>
      <c r="K24" t="str">
        <f>IF($B24=706,SUM($G24-(SUM($H24:$I24))),"")</f>
        <v/>
      </c>
      <c r="L24" t="str">
        <f>IF($B24=703,SUM($G24-(SUM($H24:$I24))),"")</f>
        <v/>
      </c>
      <c r="M24" t="str">
        <f>IF($B24=704,SUM($G24-(SUM($H24:$I24))),"")</f>
        <v/>
      </c>
      <c r="N24" t="str">
        <f>IF($B24=709,SUM($G24-(SUM($H24:$I24))),"")</f>
        <v/>
      </c>
      <c r="O24" t="str">
        <f>IF($B24=738,SUM($G24-(SUM($H24:$I24))),"")</f>
        <v/>
      </c>
      <c r="P24" t="str">
        <f>IF($B24=739,SUM($G24-(SUM($H24:$I24))),"")</f>
        <v/>
      </c>
      <c r="Q24" t="str">
        <f>IF($B24=714,SUM($G24-(SUM($H24:$I24))),"")</f>
        <v/>
      </c>
      <c r="R24" t="str">
        <f>IF($B24=710,SUM($G24-(SUM($H24:$I24))),"")</f>
        <v/>
      </c>
      <c r="S24" t="str">
        <f>IF($B24=711,SUM($G24-(SUM($H24:$I24))),"")</f>
        <v/>
      </c>
      <c r="T24" t="str">
        <f>IF($B24=712,SUM($G24-(SUM($H24:$I24))),"")</f>
        <v/>
      </c>
      <c r="U24" t="str">
        <f>IF($B24=713,SUM($G24-(SUM($H24:$I24))),"")</f>
        <v/>
      </c>
      <c r="V24" t="str">
        <f>IF($B24=715,SUM($G24-(SUM($H24:$I24))),"")</f>
        <v/>
      </c>
      <c r="W24" t="str">
        <f>IF($B24=724,SUM($G24-(SUM($H24:$I24))),"")</f>
        <v/>
      </c>
      <c r="X24" t="str">
        <f>IF($B24=725,SUM($G24-(SUM($H24:$I24))),"")</f>
        <v/>
      </c>
      <c r="Y24" t="str">
        <f>IF($B24=726,SUM($G24-(SUM($H24:$I24))),"")</f>
        <v/>
      </c>
      <c r="Z24" t="str">
        <f>IF($B24=727,SUM($G24-(SUM($H24:$I24))),"")</f>
        <v/>
      </c>
      <c r="AA24" t="str">
        <f>IF($B24=728,SUM($G24-(SUM($H24:$I24))),"")</f>
        <v/>
      </c>
      <c r="AB24" t="str">
        <f>IF($B24=729,SUM($G24-(SUM($H24:$I24))),"")</f>
        <v/>
      </c>
      <c r="AC24" t="str">
        <f>IF($B24=730,SUM($G24-(SUM($H24:$I24))),"")</f>
        <v/>
      </c>
      <c r="AD24" t="str">
        <f>IF($B24=732,SUM($G24-(SUM($H24:$I24))),"")</f>
        <v/>
      </c>
      <c r="AE24" t="str">
        <f>IF($B24=733,SUM($G24-(SUM($H24:$I24))),"")</f>
        <v/>
      </c>
      <c r="AF24" t="str">
        <f>IF($B24=734,SUM($G24-(SUM($H24:$I24))),"")</f>
        <v/>
      </c>
      <c r="AG24" t="str">
        <f>IF($B24=705,SUM($G24-(SUM($H24:$I24))),"")</f>
        <v/>
      </c>
      <c r="AH24" t="str">
        <f>IF($B24=735,SUM($G24-(SUM($H24:$I24))),"")</f>
        <v/>
      </c>
      <c r="AI24" t="str">
        <f>IF($B24=736,SUM($G24-(SUM($H24:$I24))),"")</f>
        <v/>
      </c>
      <c r="AJ24" t="str">
        <f>IF($B24=737,SUM($G24-(SUM($H24:$I24))),"")</f>
        <v/>
      </c>
      <c r="AK24" t="str">
        <f>IF($B24=725,SUM($G24-(SUM($H24:$I24))),"")</f>
        <v/>
      </c>
      <c r="AL24" t="str">
        <f>IF($B24=735,SUM($G24-(SUM($H24:$I24))),"")</f>
        <v/>
      </c>
      <c r="AM24" t="str">
        <f>IF($B24=727,SUM($G24-(SUM($H24:$I24))),"")</f>
        <v/>
      </c>
      <c r="AN24" t="str">
        <f>IF($B24=718,SUM($G24-(SUM($H24:$I24))),"")</f>
        <v/>
      </c>
      <c r="AO24" t="str">
        <f>IF($B24=719,SUM($G24-(SUM($H24:$I24))),"")</f>
        <v/>
      </c>
      <c r="AP24" t="str">
        <f>IF($B24=717,SUM($G24-(SUM($H24:$I24))),"")</f>
        <v/>
      </c>
      <c r="AQ24" t="str">
        <f>IF($B24=722,SUM($G24-(SUM($H24:$I24))),"")</f>
        <v/>
      </c>
      <c r="AR24" t="str">
        <f>IF($B24=708,SUM($G24-(SUM($H24:$I24))),"")</f>
        <v/>
      </c>
      <c r="AS24" t="str">
        <f>IF($B24=701,SUM($G24-(SUM($H24:$I24))),"")</f>
        <v/>
      </c>
      <c r="AT24" t="str">
        <f>IF($B24=702,SUM($G24-(SUM($H24:$I24))),"")</f>
        <v/>
      </c>
      <c r="AU24" t="str">
        <f>IF($B24=731,SUM($G24-(SUM($H24:$I24))),"")</f>
        <v/>
      </c>
      <c r="AV24" t="str">
        <f>IF($B24=730,SUM($G24-(SUM($H24:$I24))),"")</f>
        <v/>
      </c>
    </row>
    <row r="25">
      <c r="B25" t="n" s="0">
        <v>725.0</v>
      </c>
      <c r="C25" t="s">
        <v>77</v>
      </c>
      <c r="D25" t="n">
        <f>D24+G25</f>
        <v>0.0</v>
      </c>
      <c r="F25" t="n">
        <f>SUM(H25:AV25)-G25</f>
        <v>0.0</v>
      </c>
      <c r="G25" s="2" t="n">
        <v>0.0</v>
      </c>
      <c r="H25" t="str">
        <f>IF(G25/23*3&gt;0,SUM(G25/23*3),"")</f>
        <v/>
      </c>
      <c r="I25" t="str">
        <f>IF(G25/23*3&lt;0,SUM(G25/23*3),"")</f>
        <v/>
      </c>
      <c r="J25" t="str">
        <f>IF($B25=707,SUM($G25-(SUM($H25:$I25))),"")</f>
        <v/>
      </c>
      <c r="K25" t="str">
        <f>IF($B25=706,SUM($G25-(SUM($H25:$I25))),"")</f>
        <v/>
      </c>
      <c r="L25" t="str">
        <f>IF($B25=703,SUM($G25-(SUM($H25:$I25))),"")</f>
        <v/>
      </c>
      <c r="M25" t="str">
        <f>IF($B25=704,SUM($G25-(SUM($H25:$I25))),"")</f>
        <v/>
      </c>
      <c r="N25" t="str">
        <f>IF($B25=709,SUM($G25-(SUM($H25:$I25))),"")</f>
        <v/>
      </c>
      <c r="O25" t="str">
        <f>IF($B25=738,SUM($G25-(SUM($H25:$I25))),"")</f>
        <v/>
      </c>
      <c r="P25" t="str">
        <f>IF($B25=739,SUM($G25-(SUM($H25:$I25))),"")</f>
        <v/>
      </c>
      <c r="Q25" t="str">
        <f>IF($B25=714,SUM($G25-(SUM($H25:$I25))),"")</f>
        <v/>
      </c>
      <c r="R25" t="str">
        <f>IF($B25=710,SUM($G25-(SUM($H25:$I25))),"")</f>
        <v/>
      </c>
      <c r="S25" t="str">
        <f>IF($B25=711,SUM($G25-(SUM($H25:$I25))),"")</f>
        <v/>
      </c>
      <c r="T25" t="str">
        <f>IF($B25=712,SUM($G25-(SUM($H25:$I25))),"")</f>
        <v/>
      </c>
      <c r="U25" t="str">
        <f>IF($B25=713,SUM($G25-(SUM($H25:$I25))),"")</f>
        <v/>
      </c>
      <c r="V25" t="str">
        <f>IF($B25=715,SUM($G25-(SUM($H25:$I25))),"")</f>
        <v/>
      </c>
      <c r="W25" t="str">
        <f>IF($B25=724,SUM($G25-(SUM($H25:$I25))),"")</f>
        <v/>
      </c>
      <c r="X25" t="n">
        <f>IF($B25=725,SUM($G25-(SUM($H25:$I25))),"")</f>
        <v>0.0</v>
      </c>
      <c r="Y25" t="str">
        <f>IF($B25=726,SUM($G25-(SUM($H25:$I25))),"")</f>
        <v/>
      </c>
      <c r="Z25" t="str">
        <f>IF($B25=727,SUM($G25-(SUM($H25:$I25))),"")</f>
        <v/>
      </c>
      <c r="AA25" t="str">
        <f>IF($B25=728,SUM($G25-(SUM($H25:$I25))),"")</f>
        <v/>
      </c>
      <c r="AB25" t="str">
        <f>IF($B25=729,SUM($G25-(SUM($H25:$I25))),"")</f>
        <v/>
      </c>
      <c r="AC25" t="str">
        <f>IF($B25=730,SUM($G25-(SUM($H25:$I25))),"")</f>
        <v/>
      </c>
      <c r="AD25" t="str">
        <f>IF($B25=732,SUM($G25-(SUM($H25:$I25))),"")</f>
        <v/>
      </c>
      <c r="AE25" t="str">
        <f>IF($B25=733,SUM($G25-(SUM($H25:$I25))),"")</f>
        <v/>
      </c>
      <c r="AF25" t="str">
        <f>IF($B25=734,SUM($G25-(SUM($H25:$I25))),"")</f>
        <v/>
      </c>
      <c r="AG25" t="str">
        <f>IF($B25=705,SUM($G25-(SUM($H25:$I25))),"")</f>
        <v/>
      </c>
      <c r="AH25" t="str">
        <f>IF($B25=735,SUM($G25-(SUM($H25:$I25))),"")</f>
        <v/>
      </c>
      <c r="AI25" t="str">
        <f>IF($B25=736,SUM($G25-(SUM($H25:$I25))),"")</f>
        <v/>
      </c>
      <c r="AJ25" t="str">
        <f>IF($B25=737,SUM($G25-(SUM($H25:$I25))),"")</f>
        <v/>
      </c>
      <c r="AK25" t="n">
        <f>IF($B25=725,SUM($G25-(SUM($H25:$I25))),"")</f>
        <v>0.0</v>
      </c>
      <c r="AL25" t="str">
        <f>IF($B25=735,SUM($G25-(SUM($H25:$I25))),"")</f>
        <v/>
      </c>
      <c r="AM25" t="str">
        <f>IF($B25=727,SUM($G25-(SUM($H25:$I25))),"")</f>
        <v/>
      </c>
      <c r="AN25" t="str">
        <f>IF($B25=718,SUM($G25-(SUM($H25:$I25))),"")</f>
        <v/>
      </c>
      <c r="AO25" t="str">
        <f>IF($B25=719,SUM($G25-(SUM($H25:$I25))),"")</f>
        <v/>
      </c>
      <c r="AP25" t="str">
        <f>IF($B25=717,SUM($G25-(SUM($H25:$I25))),"")</f>
        <v/>
      </c>
      <c r="AQ25" t="str">
        <f>IF($B25=722,SUM($G25-(SUM($H25:$I25))),"")</f>
        <v/>
      </c>
      <c r="AR25" t="str">
        <f>IF($B25=708,SUM($G25-(SUM($H25:$I25))),"")</f>
        <v/>
      </c>
      <c r="AS25" t="str">
        <f>IF($B25=701,SUM($G25-(SUM($H25:$I25))),"")</f>
        <v/>
      </c>
      <c r="AT25" t="str">
        <f>IF($B25=702,SUM($G25-(SUM($H25:$I25))),"")</f>
        <v/>
      </c>
      <c r="AU25" t="str">
        <f>IF($B25=731,SUM($G25-(SUM($H25:$I25))),"")</f>
        <v/>
      </c>
      <c r="AV25" t="str">
        <f>IF($B25=730,SUM($G25-(SUM($H25:$I25))),"")</f>
        <v/>
      </c>
    </row>
    <row r="26">
      <c r="B26" t="n" s="0">
        <v>726.0</v>
      </c>
      <c r="C26" t="s">
        <v>78</v>
      </c>
      <c r="D26" t="n">
        <f>D25+G26</f>
        <v>0.0</v>
      </c>
      <c r="F26" t="n">
        <f>SUM(H26:AV26)-G26</f>
        <v>0.0</v>
      </c>
      <c r="G26" s="2" t="n">
        <f>-(OtherCalculation!C6)</f>
        <v>0.0</v>
      </c>
      <c r="H26" t="str">
        <f>IF(G26/23*3&gt;0,SUM(G26/23*3),"")</f>
        <v/>
      </c>
      <c r="I26" t="str">
        <f>IF(G26/23*3&lt;0,SUM(G26/23*3),"")</f>
        <v/>
      </c>
      <c r="J26" t="str">
        <f>IF($B26=707,SUM($G26-(SUM($H26:$I26))),"")</f>
        <v/>
      </c>
      <c r="K26" t="str">
        <f>IF($B26=706,SUM($G26-(SUM($H26:$I26))),"")</f>
        <v/>
      </c>
      <c r="L26" t="str">
        <f>IF($B26=703,SUM($G26-(SUM($H26:$I26))),"")</f>
        <v/>
      </c>
      <c r="M26" t="str">
        <f>IF($B26=704,SUM($G26-(SUM($H26:$I26))),"")</f>
        <v/>
      </c>
      <c r="N26" t="str">
        <f>IF($B26=709,SUM($G26-(SUM($H26:$I26))),"")</f>
        <v/>
      </c>
      <c r="O26" t="str">
        <f>IF($B26=738,SUM($G26-(SUM($H26:$I26))),"")</f>
        <v/>
      </c>
      <c r="P26" t="str">
        <f>IF($B26=739,SUM($G26-(SUM($H26:$I26))),"")</f>
        <v/>
      </c>
      <c r="Q26" t="str">
        <f>IF($B26=714,SUM($G26-(SUM($H26:$I26))),"")</f>
        <v/>
      </c>
      <c r="R26" t="str">
        <f>IF($B26=710,SUM($G26-(SUM($H26:$I26))),"")</f>
        <v/>
      </c>
      <c r="S26" t="str">
        <f>IF($B26=711,SUM($G26-(SUM($H26:$I26))),"")</f>
        <v/>
      </c>
      <c r="T26" t="str">
        <f>IF($B26=712,SUM($G26-(SUM($H26:$I26))),"")</f>
        <v/>
      </c>
      <c r="U26" t="str">
        <f>IF($B26=713,SUM($G26-(SUM($H26:$I26))),"")</f>
        <v/>
      </c>
      <c r="V26" t="str">
        <f>IF($B26=715,SUM($G26-(SUM($H26:$I26))),"")</f>
        <v/>
      </c>
      <c r="W26" t="str">
        <f>IF($B26=724,SUM($G26-(SUM($H26:$I26))),"")</f>
        <v/>
      </c>
      <c r="X26" t="str">
        <f>IF($B26=725,SUM($G26-(SUM($H26:$I26))),"")</f>
        <v/>
      </c>
      <c r="Y26" t="n">
        <f>IF($B26=726,SUM($G26-(SUM($H26:$I26))),"")</f>
        <v>0.0</v>
      </c>
      <c r="Z26" t="str">
        <f>IF($B26=727,SUM($G26-(SUM($H26:$I26))),"")</f>
        <v/>
      </c>
      <c r="AA26" t="str">
        <f>IF($B26=728,SUM($G26-(SUM($H26:$I26))),"")</f>
        <v/>
      </c>
      <c r="AB26" t="str">
        <f>IF($B26=729,SUM($G26-(SUM($H26:$I26))),"")</f>
        <v/>
      </c>
      <c r="AC26" t="str">
        <f>IF($B26=730,SUM($G26-(SUM($H26:$I26))),"")</f>
        <v/>
      </c>
      <c r="AD26" t="str">
        <f>IF($B26=732,SUM($G26-(SUM($H26:$I26))),"")</f>
        <v/>
      </c>
      <c r="AE26" t="str">
        <f>IF($B26=733,SUM($G26-(SUM($H26:$I26))),"")</f>
        <v/>
      </c>
      <c r="AF26" t="str">
        <f>IF($B26=734,SUM($G26-(SUM($H26:$I26))),"")</f>
        <v/>
      </c>
      <c r="AG26" t="str">
        <f>IF($B26=705,SUM($G26-(SUM($H26:$I26))),"")</f>
        <v/>
      </c>
      <c r="AH26" t="str">
        <f>IF($B26=735,SUM($G26-(SUM($H26:$I26))),"")</f>
        <v/>
      </c>
      <c r="AI26" t="str">
        <f>IF($B26=736,SUM($G26-(SUM($H26:$I26))),"")</f>
        <v/>
      </c>
      <c r="AJ26" t="str">
        <f>IF($B26=737,SUM($G26-(SUM($H26:$I26))),"")</f>
        <v/>
      </c>
      <c r="AK26" t="str">
        <f>IF($B26=725,SUM($G26-(SUM($H26:$I26))),"")</f>
        <v/>
      </c>
      <c r="AL26" t="str">
        <f>IF($B26=735,SUM($G26-(SUM($H26:$I26))),"")</f>
        <v/>
      </c>
      <c r="AM26" t="str">
        <f>IF($B26=727,SUM($G26-(SUM($H26:$I26))),"")</f>
        <v/>
      </c>
      <c r="AN26" t="str">
        <f>IF($B26=718,SUM($G26-(SUM($H26:$I26))),"")</f>
        <v/>
      </c>
      <c r="AO26" t="str">
        <f>IF($B26=719,SUM($G26-(SUM($H26:$I26))),"")</f>
        <v/>
      </c>
      <c r="AP26" t="str">
        <f>IF($B26=717,SUM($G26-(SUM($H26:$I26))),"")</f>
        <v/>
      </c>
      <c r="AQ26" t="str">
        <f>IF($B26=722,SUM($G26-(SUM($H26:$I26))),"")</f>
        <v/>
      </c>
      <c r="AR26" t="str">
        <f>IF($B26=708,SUM($G26-(SUM($H26:$I26))),"")</f>
        <v/>
      </c>
      <c r="AS26" t="str">
        <f>IF($B26=701,SUM($G26-(SUM($H26:$I26))),"")</f>
        <v/>
      </c>
      <c r="AT26" t="str">
        <f>IF($B26=702,SUM($G26-(SUM($H26:$I26))),"")</f>
        <v/>
      </c>
      <c r="AU26" t="str">
        <f>IF($B26=731,SUM($G26-(SUM($H26:$I26))),"")</f>
        <v/>
      </c>
      <c r="AV26" t="str">
        <f>IF($B26=730,SUM($G26-(SUM($H26:$I26))),"")</f>
        <v/>
      </c>
    </row>
    <row r="27">
      <c r="B27" t="n" s="0">
        <v>727.0</v>
      </c>
      <c r="C27" t="s">
        <v>79</v>
      </c>
      <c r="D27" t="n">
        <f>D26+G27</f>
        <v>0.0</v>
      </c>
      <c r="F27" t="n">
        <f>SUM(H27:AV27)-G27</f>
        <v>0.0</v>
      </c>
      <c r="G27" s="2" t="n">
        <v>0.0</v>
      </c>
      <c r="H27" t="str">
        <f>IF(G27/23*3&gt;0,SUM(G27/23*3),"")</f>
        <v/>
      </c>
      <c r="I27" t="str">
        <f>IF(G27/23*3&lt;0,SUM(G27/23*3),"")</f>
        <v/>
      </c>
      <c r="J27" t="str">
        <f>IF($B27=707,SUM($G27-(SUM($H27:$I27))),"")</f>
        <v/>
      </c>
      <c r="K27" t="str">
        <f>IF($B27=706,SUM($G27-(SUM($H27:$I27))),"")</f>
        <v/>
      </c>
      <c r="L27" t="str">
        <f>IF($B27=703,SUM($G27-(SUM($H27:$I27))),"")</f>
        <v/>
      </c>
      <c r="M27" t="str">
        <f>IF($B27=704,SUM($G27-(SUM($H27:$I27))),"")</f>
        <v/>
      </c>
      <c r="N27" t="str">
        <f>IF($B27=709,SUM($G27-(SUM($H27:$I27))),"")</f>
        <v/>
      </c>
      <c r="O27" t="str">
        <f>IF($B27=738,SUM($G27-(SUM($H27:$I27))),"")</f>
        <v/>
      </c>
      <c r="P27" t="str">
        <f>IF($B27=739,SUM($G27-(SUM($H27:$I27))),"")</f>
        <v/>
      </c>
      <c r="Q27" t="str">
        <f>IF($B27=714,SUM($G27-(SUM($H27:$I27))),"")</f>
        <v/>
      </c>
      <c r="R27" t="str">
        <f>IF($B27=710,SUM($G27-(SUM($H27:$I27))),"")</f>
        <v/>
      </c>
      <c r="S27" t="str">
        <f>IF($B27=711,SUM($G27-(SUM($H27:$I27))),"")</f>
        <v/>
      </c>
      <c r="T27" t="str">
        <f>IF($B27=712,SUM($G27-(SUM($H27:$I27))),"")</f>
        <v/>
      </c>
      <c r="U27" t="str">
        <f>IF($B27=713,SUM($G27-(SUM($H27:$I27))),"")</f>
        <v/>
      </c>
      <c r="V27" t="str">
        <f>IF($B27=715,SUM($G27-(SUM($H27:$I27))),"")</f>
        <v/>
      </c>
      <c r="W27" t="str">
        <f>IF($B27=724,SUM($G27-(SUM($H27:$I27))),"")</f>
        <v/>
      </c>
      <c r="X27" t="str">
        <f>IF($B27=725,SUM($G27-(SUM($H27:$I27))),"")</f>
        <v/>
      </c>
      <c r="Y27" t="str">
        <f>IF($B27=726,SUM($G27-(SUM($H27:$I27))),"")</f>
        <v/>
      </c>
      <c r="Z27" t="n">
        <f>IF($B27=727,SUM($G27-(SUM($H27:$I27))),"")</f>
        <v>0.0</v>
      </c>
      <c r="AA27" t="str">
        <f>IF($B27=728,SUM($G27-(SUM($H27:$I27))),"")</f>
        <v/>
      </c>
      <c r="AB27" t="str">
        <f>IF($B27=729,SUM($G27-(SUM($H27:$I27))),"")</f>
        <v/>
      </c>
      <c r="AC27" t="str">
        <f>IF($B27=730,SUM($G27-(SUM($H27:$I27))),"")</f>
        <v/>
      </c>
      <c r="AD27" t="str">
        <f>IF($B27=732,SUM($G27-(SUM($H27:$I27))),"")</f>
        <v/>
      </c>
      <c r="AE27" t="str">
        <f>IF($B27=733,SUM($G27-(SUM($H27:$I27))),"")</f>
        <v/>
      </c>
      <c r="AF27" t="str">
        <f>IF($B27=734,SUM($G27-(SUM($H27:$I27))),"")</f>
        <v/>
      </c>
      <c r="AG27" t="str">
        <f>IF($B27=705,SUM($G27-(SUM($H27:$I27))),"")</f>
        <v/>
      </c>
      <c r="AH27" t="str">
        <f>IF($B27=735,SUM($G27-(SUM($H27:$I27))),"")</f>
        <v/>
      </c>
      <c r="AI27" t="str">
        <f>IF($B27=736,SUM($G27-(SUM($H27:$I27))),"")</f>
        <v/>
      </c>
      <c r="AJ27" t="str">
        <f>IF($B27=737,SUM($G27-(SUM($H27:$I27))),"")</f>
        <v/>
      </c>
      <c r="AK27" t="str">
        <f>IF($B27=725,SUM($G27-(SUM($H27:$I27))),"")</f>
        <v/>
      </c>
      <c r="AL27" t="str">
        <f>IF($B27=735,SUM($G27-(SUM($H27:$I27))),"")</f>
        <v/>
      </c>
      <c r="AM27" t="n">
        <f>IF($B27=727,SUM($G27-(SUM($H27:$I27))),"")</f>
        <v>0.0</v>
      </c>
      <c r="AN27" t="str">
        <f>IF($B27=718,SUM($G27-(SUM($H27:$I27))),"")</f>
        <v/>
      </c>
      <c r="AO27" t="str">
        <f>IF($B27=719,SUM($G27-(SUM($H27:$I27))),"")</f>
        <v/>
      </c>
      <c r="AP27" t="str">
        <f>IF($B27=717,SUM($G27-(SUM($H27:$I27))),"")</f>
        <v/>
      </c>
      <c r="AQ27" t="str">
        <f>IF($B27=722,SUM($G27-(SUM($H27:$I27))),"")</f>
        <v/>
      </c>
      <c r="AR27" t="str">
        <f>IF($B27=708,SUM($G27-(SUM($H27:$I27))),"")</f>
        <v/>
      </c>
      <c r="AS27" t="str">
        <f>IF($B27=701,SUM($G27-(SUM($H27:$I27))),"")</f>
        <v/>
      </c>
      <c r="AT27" t="str">
        <f>IF($B27=702,SUM($G27-(SUM($H27:$I27))),"")</f>
        <v/>
      </c>
      <c r="AU27" t="str">
        <f>IF($B27=731,SUM($G27-(SUM($H27:$I27))),"")</f>
        <v/>
      </c>
      <c r="AV27" t="str">
        <f>IF($B27=730,SUM($G27-(SUM($H27:$I27))),"")</f>
        <v/>
      </c>
    </row>
    <row r="28">
      <c r="B28" t="n" s="0">
        <v>728.0</v>
      </c>
      <c r="C28" t="s">
        <v>80</v>
      </c>
      <c r="D28" t="n">
        <f>D27+G28</f>
        <v>0.0</v>
      </c>
      <c r="F28" t="n">
        <f>SUM(H28:AV28)-G28</f>
        <v>0.0</v>
      </c>
      <c r="G28" s="2" t="n">
        <v>0.0</v>
      </c>
      <c r="H28" t="str">
        <f>IF(G28/23*3&gt;0,SUM(G28/23*3),"")</f>
        <v/>
      </c>
      <c r="I28" t="str">
        <f>IF(G28/23*3&lt;0,SUM(G28/23*3),"")</f>
        <v/>
      </c>
      <c r="J28" t="str">
        <f>IF($B28=707,SUM($G28-(SUM($H28:$I28))),"")</f>
        <v/>
      </c>
      <c r="K28" t="str">
        <f>IF($B28=706,SUM($G28-(SUM($H28:$I28))),"")</f>
        <v/>
      </c>
      <c r="L28" t="str">
        <f>IF($B28=703,SUM($G28-(SUM($H28:$I28))),"")</f>
        <v/>
      </c>
      <c r="M28" t="str">
        <f>IF($B28=704,SUM($G28-(SUM($H28:$I28))),"")</f>
        <v/>
      </c>
      <c r="N28" t="str">
        <f>IF($B28=709,SUM($G28-(SUM($H28:$I28))),"")</f>
        <v/>
      </c>
      <c r="O28" t="str">
        <f>IF($B28=738,SUM($G28-(SUM($H28:$I28))),"")</f>
        <v/>
      </c>
      <c r="P28" t="str">
        <f>IF($B28=739,SUM($G28-(SUM($H28:$I28))),"")</f>
        <v/>
      </c>
      <c r="Q28" t="str">
        <f>IF($B28=714,SUM($G28-(SUM($H28:$I28))),"")</f>
        <v/>
      </c>
      <c r="R28" t="str">
        <f>IF($B28=710,SUM($G28-(SUM($H28:$I28))),"")</f>
        <v/>
      </c>
      <c r="S28" t="str">
        <f>IF($B28=711,SUM($G28-(SUM($H28:$I28))),"")</f>
        <v/>
      </c>
      <c r="T28" t="str">
        <f>IF($B28=712,SUM($G28-(SUM($H28:$I28))),"")</f>
        <v/>
      </c>
      <c r="U28" t="str">
        <f>IF($B28=713,SUM($G28-(SUM($H28:$I28))),"")</f>
        <v/>
      </c>
      <c r="V28" t="str">
        <f>IF($B28=715,SUM($G28-(SUM($H28:$I28))),"")</f>
        <v/>
      </c>
      <c r="W28" t="str">
        <f>IF($B28=724,SUM($G28-(SUM($H28:$I28))),"")</f>
        <v/>
      </c>
      <c r="X28" t="str">
        <f>IF($B28=725,SUM($G28-(SUM($H28:$I28))),"")</f>
        <v/>
      </c>
      <c r="Y28" t="str">
        <f>IF($B28=726,SUM($G28-(SUM($H28:$I28))),"")</f>
        <v/>
      </c>
      <c r="Z28" t="str">
        <f>IF($B28=727,SUM($G28-(SUM($H28:$I28))),"")</f>
        <v/>
      </c>
      <c r="AA28" t="n">
        <f>IF($B28=728,SUM($G28-(SUM($H28:$I28))),"")</f>
        <v>0.0</v>
      </c>
      <c r="AB28" t="str">
        <f>IF($B28=729,SUM($G28-(SUM($H28:$I28))),"")</f>
        <v/>
      </c>
      <c r="AC28" t="str">
        <f>IF($B28=730,SUM($G28-(SUM($H28:$I28))),"")</f>
        <v/>
      </c>
      <c r="AD28" t="str">
        <f>IF($B28=732,SUM($G28-(SUM($H28:$I28))),"")</f>
        <v/>
      </c>
      <c r="AE28" t="str">
        <f>IF($B28=733,SUM($G28-(SUM($H28:$I28))),"")</f>
        <v/>
      </c>
      <c r="AF28" t="str">
        <f>IF($B28=734,SUM($G28-(SUM($H28:$I28))),"")</f>
        <v/>
      </c>
      <c r="AG28" t="str">
        <f>IF($B28=705,SUM($G28-(SUM($H28:$I28))),"")</f>
        <v/>
      </c>
      <c r="AH28" t="str">
        <f>IF($B28=735,SUM($G28-(SUM($H28:$I28))),"")</f>
        <v/>
      </c>
      <c r="AI28" t="str">
        <f>IF($B28=736,SUM($G28-(SUM($H28:$I28))),"")</f>
        <v/>
      </c>
      <c r="AJ28" t="str">
        <f>IF($B28=737,SUM($G28-(SUM($H28:$I28))),"")</f>
        <v/>
      </c>
      <c r="AK28" t="str">
        <f>IF($B28=725,SUM($G28-(SUM($H28:$I28))),"")</f>
        <v/>
      </c>
      <c r="AL28" t="str">
        <f>IF($B28=735,SUM($G28-(SUM($H28:$I28))),"")</f>
        <v/>
      </c>
      <c r="AM28" t="str">
        <f>IF($B28=727,SUM($G28-(SUM($H28:$I28))),"")</f>
        <v/>
      </c>
      <c r="AN28" t="str">
        <f>IF($B28=718,SUM($G28-(SUM($H28:$I28))),"")</f>
        <v/>
      </c>
      <c r="AO28" t="str">
        <f>IF($B28=719,SUM($G28-(SUM($H28:$I28))),"")</f>
        <v/>
      </c>
      <c r="AP28" t="str">
        <f>IF($B28=717,SUM($G28-(SUM($H28:$I28))),"")</f>
        <v/>
      </c>
      <c r="AQ28" t="str">
        <f>IF($B28=722,SUM($G28-(SUM($H28:$I28))),"")</f>
        <v/>
      </c>
      <c r="AR28" t="str">
        <f>IF($B28=708,SUM($G28-(SUM($H28:$I28))),"")</f>
        <v/>
      </c>
      <c r="AS28" t="str">
        <f>IF($B28=701,SUM($G28-(SUM($H28:$I28))),"")</f>
        <v/>
      </c>
      <c r="AT28" t="str">
        <f>IF($B28=702,SUM($G28-(SUM($H28:$I28))),"")</f>
        <v/>
      </c>
      <c r="AU28" t="str">
        <f>IF($B28=731,SUM($G28-(SUM($H28:$I28))),"")</f>
        <v/>
      </c>
      <c r="AV28" t="str">
        <f>IF($B28=730,SUM($G28-(SUM($H28:$I28))),"")</f>
        <v/>
      </c>
    </row>
    <row r="29">
      <c r="B29" t="n" s="0">
        <v>729.0</v>
      </c>
      <c r="C29" t="s">
        <v>81</v>
      </c>
      <c r="D29" t="n">
        <f>D28+G29</f>
        <v>0.0</v>
      </c>
      <c r="F29" t="n">
        <f>SUM(H29:AV29)-G29</f>
        <v>0.0</v>
      </c>
      <c r="G29" s="2" t="n">
        <v>0.0</v>
      </c>
      <c r="H29" t="str">
        <f>IF(G29/23*3&gt;0,SUM(G29/23*3),"")</f>
        <v/>
      </c>
      <c r="I29" t="str">
        <f>IF(G29/23*3&lt;0,SUM(G29/23*3),"")</f>
        <v/>
      </c>
      <c r="J29" t="str">
        <f>IF($B29=707,SUM($G29-(SUM($H29:$I29))),"")</f>
        <v/>
      </c>
      <c r="K29" t="str">
        <f>IF($B29=706,SUM($G29-(SUM($H29:$I29))),"")</f>
        <v/>
      </c>
      <c r="L29" t="str">
        <f>IF($B29=703,SUM($G29-(SUM($H29:$I29))),"")</f>
        <v/>
      </c>
      <c r="M29" t="str">
        <f>IF($B29=704,SUM($G29-(SUM($H29:$I29))),"")</f>
        <v/>
      </c>
      <c r="N29" t="str">
        <f>IF($B29=709,SUM($G29-(SUM($H29:$I29))),"")</f>
        <v/>
      </c>
      <c r="O29" t="str">
        <f>IF($B29=738,SUM($G29-(SUM($H29:$I29))),"")</f>
        <v/>
      </c>
      <c r="P29" t="str">
        <f>IF($B29=739,SUM($G29-(SUM($H29:$I29))),"")</f>
        <v/>
      </c>
      <c r="Q29" t="str">
        <f>IF($B29=714,SUM($G29-(SUM($H29:$I29))),"")</f>
        <v/>
      </c>
      <c r="R29" t="str">
        <f>IF($B29=710,SUM($G29-(SUM($H29:$I29))),"")</f>
        <v/>
      </c>
      <c r="S29" t="str">
        <f>IF($B29=711,SUM($G29-(SUM($H29:$I29))),"")</f>
        <v/>
      </c>
      <c r="T29" t="str">
        <f>IF($B29=712,SUM($G29-(SUM($H29:$I29))),"")</f>
        <v/>
      </c>
      <c r="U29" t="str">
        <f>IF($B29=713,SUM($G29-(SUM($H29:$I29))),"")</f>
        <v/>
      </c>
      <c r="V29" t="str">
        <f>IF($B29=715,SUM($G29-(SUM($H29:$I29))),"")</f>
        <v/>
      </c>
      <c r="W29" t="str">
        <f>IF($B29=724,SUM($G29-(SUM($H29:$I29))),"")</f>
        <v/>
      </c>
      <c r="X29" t="str">
        <f>IF($B29=725,SUM($G29-(SUM($H29:$I29))),"")</f>
        <v/>
      </c>
      <c r="Y29" t="str">
        <f>IF($B29=726,SUM($G29-(SUM($H29:$I29))),"")</f>
        <v/>
      </c>
      <c r="Z29" t="str">
        <f>IF($B29=727,SUM($G29-(SUM($H29:$I29))),"")</f>
        <v/>
      </c>
      <c r="AA29" t="str">
        <f>IF($B29=728,SUM($G29-(SUM($H29:$I29))),"")</f>
        <v/>
      </c>
      <c r="AB29" t="n">
        <f>IF($B29=729,SUM($G29-(SUM($H29:$I29))),"")</f>
        <v>0.0</v>
      </c>
      <c r="AC29" t="str">
        <f>IF($B29=730,SUM($G29-(SUM($H29:$I29))),"")</f>
        <v/>
      </c>
      <c r="AD29" t="str">
        <f>IF($B29=732,SUM($G29-(SUM($H29:$I29))),"")</f>
        <v/>
      </c>
      <c r="AE29" t="str">
        <f>IF($B29=733,SUM($G29-(SUM($H29:$I29))),"")</f>
        <v/>
      </c>
      <c r="AF29" t="str">
        <f>IF($B29=734,SUM($G29-(SUM($H29:$I29))),"")</f>
        <v/>
      </c>
      <c r="AG29" t="str">
        <f>IF($B29=705,SUM($G29-(SUM($H29:$I29))),"")</f>
        <v/>
      </c>
      <c r="AH29" t="str">
        <f>IF($B29=735,SUM($G29-(SUM($H29:$I29))),"")</f>
        <v/>
      </c>
      <c r="AI29" t="str">
        <f>IF($B29=736,SUM($G29-(SUM($H29:$I29))),"")</f>
        <v/>
      </c>
      <c r="AJ29" t="str">
        <f>IF($B29=737,SUM($G29-(SUM($H29:$I29))),"")</f>
        <v/>
      </c>
      <c r="AK29" t="str">
        <f>IF($B29=725,SUM($G29-(SUM($H29:$I29))),"")</f>
        <v/>
      </c>
      <c r="AL29" t="str">
        <f>IF($B29=735,SUM($G29-(SUM($H29:$I29))),"")</f>
        <v/>
      </c>
      <c r="AM29" t="str">
        <f>IF($B29=727,SUM($G29-(SUM($H29:$I29))),"")</f>
        <v/>
      </c>
      <c r="AN29" t="str">
        <f>IF($B29=718,SUM($G29-(SUM($H29:$I29))),"")</f>
        <v/>
      </c>
      <c r="AO29" t="str">
        <f>IF($B29=719,SUM($G29-(SUM($H29:$I29))),"")</f>
        <v/>
      </c>
      <c r="AP29" t="str">
        <f>IF($B29=717,SUM($G29-(SUM($H29:$I29))),"")</f>
        <v/>
      </c>
      <c r="AQ29" t="str">
        <f>IF($B29=722,SUM($G29-(SUM($H29:$I29))),"")</f>
        <v/>
      </c>
      <c r="AR29" t="str">
        <f>IF($B29=708,SUM($G29-(SUM($H29:$I29))),"")</f>
        <v/>
      </c>
      <c r="AS29" t="str">
        <f>IF($B29=701,SUM($G29-(SUM($H29:$I29))),"")</f>
        <v/>
      </c>
      <c r="AT29" t="str">
        <f>IF($B29=702,SUM($G29-(SUM($H29:$I29))),"")</f>
        <v/>
      </c>
      <c r="AU29" t="str">
        <f>IF($B29=731,SUM($G29-(SUM($H29:$I29))),"")</f>
        <v/>
      </c>
      <c r="AV29" t="str">
        <f>IF($B29=730,SUM($G29-(SUM($H29:$I29))),"")</f>
        <v/>
      </c>
    </row>
    <row r="30">
      <c r="B30" t="n" s="0">
        <v>734.0</v>
      </c>
      <c r="C30" t="s">
        <v>75</v>
      </c>
      <c r="D30" t="n">
        <f>D29+G30</f>
        <v>0.0</v>
      </c>
      <c r="F30" t="n">
        <f>SUM(H30:AV30)-G30</f>
        <v>0.0</v>
      </c>
      <c r="G30" s="2" t="n">
        <v>0.0</v>
      </c>
      <c r="H30" t="str">
        <f>IF(G30/23*3&gt;0,SUM(G30/23*3),"")</f>
        <v/>
      </c>
      <c r="I30" t="str">
        <f>IF(G30/23*3&lt;0,SUM(G30/23*3),"")</f>
        <v/>
      </c>
      <c r="J30" t="str">
        <f>IF($B30=707,SUM($G30-(SUM($H30:$I30))),"")</f>
        <v/>
      </c>
      <c r="K30" t="str">
        <f>IF($B30=706,SUM($G30-(SUM($H30:$I30))),"")</f>
        <v/>
      </c>
      <c r="L30" t="str">
        <f>IF($B30=703,SUM($G30-(SUM($H30:$I30))),"")</f>
        <v/>
      </c>
      <c r="M30" t="str">
        <f>IF($B30=704,SUM($G30-(SUM($H30:$I30))),"")</f>
        <v/>
      </c>
      <c r="N30" t="str">
        <f>IF($B30=709,SUM($G30-(SUM($H30:$I30))),"")</f>
        <v/>
      </c>
      <c r="O30" t="str">
        <f>IF($B30=738,SUM($G30-(SUM($H30:$I30))),"")</f>
        <v/>
      </c>
      <c r="P30" t="str">
        <f>IF($B30=739,SUM($G30-(SUM($H30:$I30))),"")</f>
        <v/>
      </c>
      <c r="Q30" t="str">
        <f>IF($B30=714,SUM($G30-(SUM($H30:$I30))),"")</f>
        <v/>
      </c>
      <c r="R30" t="str">
        <f>IF($B30=710,SUM($G30-(SUM($H30:$I30))),"")</f>
        <v/>
      </c>
      <c r="S30" t="str">
        <f>IF($B30=711,SUM($G30-(SUM($H30:$I30))),"")</f>
        <v/>
      </c>
      <c r="T30" t="str">
        <f>IF($B30=712,SUM($G30-(SUM($H30:$I30))),"")</f>
        <v/>
      </c>
      <c r="U30" t="str">
        <f>IF($B30=713,SUM($G30-(SUM($H30:$I30))),"")</f>
        <v/>
      </c>
      <c r="V30" t="str">
        <f>IF($B30=715,SUM($G30-(SUM($H30:$I30))),"")</f>
        <v/>
      </c>
      <c r="W30" t="str">
        <f>IF($B30=724,SUM($G30-(SUM($H30:$I30))),"")</f>
        <v/>
      </c>
      <c r="X30" t="str">
        <f>IF($B30=725,SUM($G30-(SUM($H30:$I30))),"")</f>
        <v/>
      </c>
      <c r="Y30" t="str">
        <f>IF($B30=726,SUM($G30-(SUM($H30:$I30))),"")</f>
        <v/>
      </c>
      <c r="Z30" t="str">
        <f>IF($B30=727,SUM($G30-(SUM($H30:$I30))),"")</f>
        <v/>
      </c>
      <c r="AA30" t="str">
        <f>IF($B30=728,SUM($G30-(SUM($H30:$I30))),"")</f>
        <v/>
      </c>
      <c r="AB30" t="str">
        <f>IF($B30=729,SUM($G30-(SUM($H30:$I30))),"")</f>
        <v/>
      </c>
      <c r="AC30" t="str">
        <f>IF($B30=730,SUM($G30-(SUM($H30:$I30))),"")</f>
        <v/>
      </c>
      <c r="AD30" t="str">
        <f>IF($B30=732,SUM($G30-(SUM($H30:$I30))),"")</f>
        <v/>
      </c>
      <c r="AE30" t="str">
        <f>IF($B30=733,SUM($G30-(SUM($H30:$I30))),"")</f>
        <v/>
      </c>
      <c r="AF30" t="n">
        <f>IF($B30=734,SUM($G30-(SUM($H30:$I30))),"")</f>
        <v>0.0</v>
      </c>
      <c r="AG30" t="str">
        <f>IF($B30=705,SUM($G30-(SUM($H30:$I30))),"")</f>
        <v/>
      </c>
      <c r="AH30" t="str">
        <f>IF($B30=735,SUM($G30-(SUM($H30:$I30))),"")</f>
        <v/>
      </c>
      <c r="AI30" t="str">
        <f>IF($B30=736,SUM($G30-(SUM($H30:$I30))),"")</f>
        <v/>
      </c>
      <c r="AJ30" t="str">
        <f>IF($B30=737,SUM($G30-(SUM($H30:$I30))),"")</f>
        <v/>
      </c>
      <c r="AK30" t="str">
        <f>IF($B30=725,SUM($G30-(SUM($H30:$I30))),"")</f>
        <v/>
      </c>
      <c r="AL30" t="str">
        <f>IF($B30=735,SUM($G30-(SUM($H30:$I30))),"")</f>
        <v/>
      </c>
      <c r="AM30" t="str">
        <f>IF($B30=727,SUM($G30-(SUM($H30:$I30))),"")</f>
        <v/>
      </c>
      <c r="AN30" t="str">
        <f>IF($B30=718,SUM($G30-(SUM($H30:$I30))),"")</f>
        <v/>
      </c>
      <c r="AO30" t="str">
        <f>IF($B30=719,SUM($G30-(SUM($H30:$I30))),"")</f>
        <v/>
      </c>
      <c r="AP30" t="str">
        <f>IF($B30=717,SUM($G30-(SUM($H30:$I30))),"")</f>
        <v/>
      </c>
      <c r="AQ30" t="str">
        <f>IF($B30=722,SUM($G30-(SUM($H30:$I30))),"")</f>
        <v/>
      </c>
      <c r="AR30" t="str">
        <f>IF($B30=708,SUM($G30-(SUM($H30:$I30))),"")</f>
        <v/>
      </c>
      <c r="AS30" t="str">
        <f>IF($B30=701,SUM($G30-(SUM($H30:$I30))),"")</f>
        <v/>
      </c>
      <c r="AT30" t="str">
        <f>IF($B30=702,SUM($G30-(SUM($H30:$I30))),"")</f>
        <v/>
      </c>
      <c r="AU30" t="str">
        <f>IF($B30=731,SUM($G30-(SUM($H30:$I30))),"")</f>
        <v/>
      </c>
      <c r="AV30" t="str">
        <f>IF($B30=730,SUM($G30-(SUM($H30:$I30))),"")</f>
        <v/>
      </c>
    </row>
    <row r="31">
      <c r="B31" t="n" s="0">
        <v>724.0</v>
      </c>
      <c r="C31" t="s">
        <v>66</v>
      </c>
      <c r="D31" t="n">
        <f>D30+G31</f>
        <v>0.0</v>
      </c>
      <c r="F31" t="n">
        <f>SUM(H31:AV31)-G31</f>
        <v>0.0</v>
      </c>
      <c r="G31" s="2" t="n">
        <v>0.0</v>
      </c>
      <c r="H31" t="str">
        <f>IF(G31/23*3&gt;0,SUM(G31/23*3),"")</f>
        <v/>
      </c>
      <c r="J31" t="str">
        <f>IF($B31=707,SUM($G31-(SUM($H31:$I31))),"")</f>
        <v/>
      </c>
      <c r="K31" t="str">
        <f>IF($B31=706,SUM($G31-(SUM($H31:$I31))),"")</f>
        <v/>
      </c>
      <c r="L31" t="str">
        <f>IF($B31=703,SUM($G31-(SUM($H31:$I31))),"")</f>
        <v/>
      </c>
      <c r="M31" t="str">
        <f>IF($B31=704,SUM($G31-(SUM($H31:$I31))),"")</f>
        <v/>
      </c>
      <c r="N31" t="str">
        <f>IF($B31=709,SUM($G31-(SUM($H31:$I31))),"")</f>
        <v/>
      </c>
      <c r="O31" t="str">
        <f>IF($B31=738,SUM($G31-(SUM($H31:$I31))),"")</f>
        <v/>
      </c>
      <c r="P31" t="str">
        <f>IF($B31=739,SUM($G31-(SUM($H31:$I31))),"")</f>
        <v/>
      </c>
      <c r="Q31" t="str">
        <f>IF($B31=714,SUM($G31-(SUM($H31:$I31))),"")</f>
        <v/>
      </c>
      <c r="R31" t="str">
        <f>IF($B31=710,SUM($G31-(SUM($H31:$I31))),"")</f>
        <v/>
      </c>
      <c r="S31" t="str">
        <f>IF($B31=711,SUM($G31-(SUM($H31:$I31))),"")</f>
        <v/>
      </c>
      <c r="T31" t="str">
        <f>IF($B31=712,SUM($G31-(SUM($H31:$I31))),"")</f>
        <v/>
      </c>
      <c r="U31" t="str">
        <f>IF($B31=713,SUM($G31-(SUM($H31:$I31))),"")</f>
        <v/>
      </c>
      <c r="V31" t="str">
        <f>IF($B31=715,SUM($G31-(SUM($H31:$I31))),"")</f>
        <v/>
      </c>
      <c r="W31" t="n">
        <f>IF($B31=724,SUM($G31-(SUM($H31:$I31))),"")</f>
        <v>0.0</v>
      </c>
      <c r="X31" t="str">
        <f>IF($B31=725,SUM($G31-(SUM($H31:$I31))),"")</f>
        <v/>
      </c>
      <c r="Y31" t="str">
        <f>IF($B31=726,SUM($G31-(SUM($H31:$I31))),"")</f>
        <v/>
      </c>
      <c r="Z31" t="str">
        <f>IF($B31=727,SUM($G31-(SUM($H31:$I31))),"")</f>
        <v/>
      </c>
      <c r="AA31" t="str">
        <f>IF($B31=728,SUM($G31-(SUM($H31:$I31))),"")</f>
        <v/>
      </c>
      <c r="AB31" t="str">
        <f>IF($B31=729,SUM($G31-(SUM($H31:$I31))),"")</f>
        <v/>
      </c>
      <c r="AC31" t="str">
        <f>IF($B31=730,SUM($G31-(SUM($H31:$I31))),"")</f>
        <v/>
      </c>
      <c r="AD31" t="str">
        <f>IF($B31=732,SUM($G31-(SUM($H31:$I31))),"")</f>
        <v/>
      </c>
      <c r="AE31" t="str">
        <f>IF($B31=733,SUM($G31-(SUM($H31:$I31))),"")</f>
        <v/>
      </c>
      <c r="AF31" t="str">
        <f>IF($B31=734,SUM($G31-(SUM($H31:$I31))),"")</f>
        <v/>
      </c>
      <c r="AG31" t="str">
        <f>IF($B31=705,SUM($G31-(SUM($H31:$I31))),"")</f>
        <v/>
      </c>
      <c r="AH31" t="str">
        <f>IF($B31=735,SUM($G31-(SUM($H31:$I31))),"")</f>
        <v/>
      </c>
      <c r="AI31" t="str">
        <f>IF($B31=736,SUM($G31-(SUM($H31:$I31))),"")</f>
        <v/>
      </c>
      <c r="AJ31" t="str">
        <f>IF($B31=737,SUM($G31-(SUM($H31:$I31))),"")</f>
        <v/>
      </c>
      <c r="AK31" t="str">
        <f>IF($B31=725,SUM($G31-(SUM($H31:$I31))),"")</f>
        <v/>
      </c>
      <c r="AL31" t="str">
        <f>IF($B31=735,SUM($G31-(SUM($H31:$I31))),"")</f>
        <v/>
      </c>
      <c r="AM31" t="str">
        <f>IF($B31=727,SUM($G31-(SUM($H31:$I31))),"")</f>
        <v/>
      </c>
      <c r="AN31" t="str">
        <f>IF($B31=718,SUM($G31-(SUM($H31:$I31))),"")</f>
        <v/>
      </c>
      <c r="AO31" t="str">
        <f>IF($B31=719,SUM($G31-(SUM($H31:$I31))),"")</f>
        <v/>
      </c>
      <c r="AP31" t="str">
        <f>IF($B31=717,SUM($G31-(SUM($H31:$I31))),"")</f>
        <v/>
      </c>
      <c r="AQ31" t="str">
        <f>IF($B31=722,SUM($G31-(SUM($H31:$I31))),"")</f>
        <v/>
      </c>
      <c r="AR31" t="str">
        <f>IF($B31=708,SUM($G31-(SUM($H31:$I31))),"")</f>
        <v/>
      </c>
      <c r="AS31" t="str">
        <f>IF($B31=701,SUM($G31-(SUM($H31:$I31))),"")</f>
        <v/>
      </c>
      <c r="AT31" t="str">
        <f>IF($B31=702,SUM($G31-(SUM($H31:$I31))),"")</f>
        <v/>
      </c>
      <c r="AU31" t="str">
        <f>IF($B31=731,SUM($G31-(SUM($H31:$I31))),"")</f>
        <v/>
      </c>
      <c r="AV31" t="str">
        <f>IF($B31=730,SUM($G31-(SUM($H31:$I31))),"")</f>
        <v/>
      </c>
    </row>
    <row r="32">
      <c r="B32" t="n" s="0">
        <v>710.0</v>
      </c>
      <c r="C32" t="s">
        <v>61</v>
      </c>
      <c r="D32" t="n">
        <f>D31+G32</f>
        <v>0.0</v>
      </c>
      <c r="F32" t="n">
        <f>SUM(H32:AV32)-G32</f>
        <v>0.0</v>
      </c>
      <c r="G32" s="2" t="n">
        <v>0.0</v>
      </c>
      <c r="H32" t="str">
        <f>IF(G32/23*3&gt;0,SUM(G32/23*3),"")</f>
        <v/>
      </c>
      <c r="J32" t="str">
        <f>IF($B32=707,SUM($G32-(SUM($H32:$I32))),"")</f>
        <v/>
      </c>
      <c r="K32" t="str">
        <f>IF($B32=706,SUM($G32-(SUM($H32:$I32))),"")</f>
        <v/>
      </c>
      <c r="L32" t="str">
        <f>IF($B32=703,SUM($G32-(SUM($H32:$I32))),"")</f>
        <v/>
      </c>
      <c r="M32" t="str">
        <f>IF($B32=704,SUM($G32-(SUM($H32:$I32))),"")</f>
        <v/>
      </c>
      <c r="N32" t="str">
        <f>IF($B32=709,SUM($G32-(SUM($H32:$I32))),"")</f>
        <v/>
      </c>
      <c r="O32" t="str">
        <f>IF($B32=738,SUM($G32-(SUM($H32:$I32))),"")</f>
        <v/>
      </c>
      <c r="P32" t="str">
        <f>IF($B32=739,SUM($G32-(SUM($H32:$I32))),"")</f>
        <v/>
      </c>
      <c r="Q32" t="str">
        <f>IF($B32=714,SUM($G32-(SUM($H32:$I32))),"")</f>
        <v/>
      </c>
      <c r="R32" t="n">
        <f>IF($B32=710,SUM($G32-(SUM($H32:$I32))),"")</f>
        <v>0.0</v>
      </c>
      <c r="S32" t="str">
        <f>IF($B32=711,SUM($G32-(SUM($H32:$I32))),"")</f>
        <v/>
      </c>
      <c r="T32" t="str">
        <f>IF($B32=712,SUM($G32-(SUM($H32:$I32))),"")</f>
        <v/>
      </c>
      <c r="U32" t="str">
        <f>IF($B32=713,SUM($G32-(SUM($H32:$I32))),"")</f>
        <v/>
      </c>
      <c r="V32" t="str">
        <f>IF($B32=715,SUM($G32-(SUM($H32:$I32))),"")</f>
        <v/>
      </c>
      <c r="W32" t="str">
        <f>IF($B32=724,SUM($G32-(SUM($H32:$I32))),"")</f>
        <v/>
      </c>
      <c r="X32" t="str">
        <f>IF($B32=725,SUM($G32-(SUM($H32:$I32))),"")</f>
        <v/>
      </c>
      <c r="Y32" t="str">
        <f>IF($B32=726,SUM($G32-(SUM($H32:$I32))),"")</f>
        <v/>
      </c>
      <c r="Z32" t="str">
        <f>IF($B32=727,SUM($G32-(SUM($H32:$I32))),"")</f>
        <v/>
      </c>
      <c r="AA32" t="str">
        <f>IF($B32=728,SUM($G32-(SUM($H32:$I32))),"")</f>
        <v/>
      </c>
      <c r="AB32" t="str">
        <f>IF($B32=729,SUM($G32-(SUM($H32:$I32))),"")</f>
        <v/>
      </c>
      <c r="AC32" t="str">
        <f>IF($B32=730,SUM($G32-(SUM($H32:$I32))),"")</f>
        <v/>
      </c>
      <c r="AD32" t="str">
        <f>IF($B32=732,SUM($G32-(SUM($H32:$I32))),"")</f>
        <v/>
      </c>
      <c r="AE32" t="str">
        <f>IF($B32=733,SUM($G32-(SUM($H32:$I32))),"")</f>
        <v/>
      </c>
      <c r="AF32" t="str">
        <f>IF($B32=734,SUM($G32-(SUM($H32:$I32))),"")</f>
        <v/>
      </c>
      <c r="AG32" t="str">
        <f>IF($B32=705,SUM($G32-(SUM($H32:$I32))),"")</f>
        <v/>
      </c>
      <c r="AH32" t="str">
        <f>IF($B32=735,SUM($G32-(SUM($H32:$I32))),"")</f>
        <v/>
      </c>
      <c r="AI32" t="str">
        <f>IF($B32=736,SUM($G32-(SUM($H32:$I32))),"")</f>
        <v/>
      </c>
      <c r="AJ32" t="str">
        <f>IF($B32=737,SUM($G32-(SUM($H32:$I32))),"")</f>
        <v/>
      </c>
      <c r="AK32" t="str">
        <f>IF($B32=725,SUM($G32-(SUM($H32:$I32))),"")</f>
        <v/>
      </c>
      <c r="AL32" t="str">
        <f>IF($B32=735,SUM($G32-(SUM($H32:$I32))),"")</f>
        <v/>
      </c>
      <c r="AM32" t="str">
        <f>IF($B32=727,SUM($G32-(SUM($H32:$I32))),"")</f>
        <v/>
      </c>
      <c r="AN32" t="str">
        <f>IF($B32=718,SUM($G32-(SUM($H32:$I32))),"")</f>
        <v/>
      </c>
      <c r="AO32" t="str">
        <f>IF($B32=719,SUM($G32-(SUM($H32:$I32))),"")</f>
        <v/>
      </c>
      <c r="AP32" t="str">
        <f>IF($B32=717,SUM($G32-(SUM($H32:$I32))),"")</f>
        <v/>
      </c>
      <c r="AQ32" t="str">
        <f>IF($B32=722,SUM($G32-(SUM($H32:$I32))),"")</f>
        <v/>
      </c>
      <c r="AR32" t="str">
        <f>IF($B32=708,SUM($G32-(SUM($H32:$I32))),"")</f>
        <v/>
      </c>
      <c r="AS32" t="str">
        <f>IF($B32=701,SUM($G32-(SUM($H32:$I32))),"")</f>
        <v/>
      </c>
      <c r="AT32" t="str">
        <f>IF($B32=702,SUM($G32-(SUM($H32:$I32))),"")</f>
        <v/>
      </c>
      <c r="AU32" t="str">
        <f>IF($B32=731,SUM($G32-(SUM($H32:$I32))),"")</f>
        <v/>
      </c>
      <c r="AV32" t="str">
        <f>IF($B32=730,SUM($G32-(SUM($H32:$I32))),"")</f>
        <v/>
      </c>
    </row>
    <row r="33">
      <c r="B33" t="n" s="0">
        <v>730.0</v>
      </c>
      <c r="C33" t="s">
        <v>85</v>
      </c>
      <c r="D33" t="n">
        <f>D32+G33</f>
        <v>0.0</v>
      </c>
      <c r="F33" t="n">
        <f>SUM(H33:AV33)-G33</f>
        <v>0.0</v>
      </c>
      <c r="G33" s="2" t="n">
        <v>0.0</v>
      </c>
      <c r="H33" t="str">
        <f>IF(G33/23*3&gt;0,SUM(G33/23*3),"")</f>
        <v/>
      </c>
      <c r="I33" t="str">
        <f>IF(G33/23*3&lt;0,SUM(G33/23*3),"")</f>
        <v/>
      </c>
      <c r="J33" t="str">
        <f>IF($B33=707,SUM($G33-(SUM($H33:$I33))),"")</f>
        <v/>
      </c>
      <c r="K33" t="str">
        <f>IF($B33=706,SUM($G33-(SUM($H33:$I33))),"")</f>
        <v/>
      </c>
      <c r="L33" t="str">
        <f>IF($B33=703,SUM($G33-(SUM($H33:$I33))),"")</f>
        <v/>
      </c>
      <c r="M33" t="str">
        <f>IF($B33=704,SUM($G33-(SUM($H33:$I33))),"")</f>
        <v/>
      </c>
      <c r="N33" t="str">
        <f>IF($B33=709,SUM($G33-(SUM($H33:$I33))),"")</f>
        <v/>
      </c>
      <c r="O33" t="str">
        <f>IF($B33=738,SUM($G33-(SUM($H33:$I33))),"")</f>
        <v/>
      </c>
      <c r="P33" t="str">
        <f>IF($B33=739,SUM($G33-(SUM($H33:$I33))),"")</f>
        <v/>
      </c>
      <c r="Q33" t="str">
        <f>IF($B33=714,SUM($G33-(SUM($H33:$I33))),"")</f>
        <v/>
      </c>
      <c r="R33" t="str">
        <f>IF($B33=710,SUM($G33-(SUM($H33:$I33))),"")</f>
        <v/>
      </c>
      <c r="S33" t="str">
        <f>IF($B33=711,SUM($G33-(SUM($H33:$I33))),"")</f>
        <v/>
      </c>
      <c r="T33" t="str">
        <f>IF($B33=712,SUM($G33-(SUM($H33:$I33))),"")</f>
        <v/>
      </c>
      <c r="U33" t="str">
        <f>IF($B33=713,SUM($G33-(SUM($H33:$I33))),"")</f>
        <v/>
      </c>
      <c r="V33" t="str">
        <f>IF($B33=715,SUM($G33-(SUM($H33:$I33))),"")</f>
        <v/>
      </c>
      <c r="W33" t="str">
        <f>IF($B33=724,SUM($G33-(SUM($H33:$I33))),"")</f>
        <v/>
      </c>
      <c r="X33" t="str">
        <f>IF($B33=725,SUM($G33-(SUM($H33:$I33))),"")</f>
        <v/>
      </c>
      <c r="Y33" t="str">
        <f>IF($B33=726,SUM($G33-(SUM($H33:$I33))),"")</f>
        <v/>
      </c>
      <c r="Z33" t="str">
        <f>IF($B33=727,SUM($G33-(SUM($H33:$I33))),"")</f>
        <v/>
      </c>
      <c r="AA33" t="str">
        <f>IF($B33=728,SUM($G33-(SUM($H33:$I33))),"")</f>
        <v/>
      </c>
      <c r="AB33" t="str">
        <f>IF($B33=729,SUM($G33-(SUM($H33:$I33))),"")</f>
        <v/>
      </c>
      <c r="AC33" t="n">
        <f>IF($B33=730,SUM($G33-(SUM($H33:$I33))),"")</f>
        <v>0.0</v>
      </c>
      <c r="AD33" t="str">
        <f>IF($B33=732,SUM($G33-(SUM($H33:$I33))),"")</f>
        <v/>
      </c>
      <c r="AE33" t="str">
        <f>IF($B33=733,SUM($G33-(SUM($H33:$I33))),"")</f>
        <v/>
      </c>
      <c r="AF33" t="str">
        <f>IF($B33=734,SUM($G33-(SUM($H33:$I33))),"")</f>
        <v/>
      </c>
      <c r="AG33" t="str">
        <f>IF($B33=705,SUM($G33-(SUM($H33:$I33))),"")</f>
        <v/>
      </c>
      <c r="AH33" t="str">
        <f>IF($B33=735,SUM($G33-(SUM($H33:$I33))),"")</f>
        <v/>
      </c>
      <c r="AI33" t="str">
        <f>IF($B33=736,SUM($G33-(SUM($H33:$I33))),"")</f>
        <v/>
      </c>
      <c r="AJ33" t="str">
        <f>IF($B33=737,SUM($G33-(SUM($H33:$I33))),"")</f>
        <v/>
      </c>
      <c r="AK33" t="str">
        <f>IF($B33=725,SUM($G33-(SUM($H33:$I33))),"")</f>
        <v/>
      </c>
      <c r="AL33" t="str">
        <f>IF($B33=735,SUM($G33-(SUM($H33:$I33))),"")</f>
        <v/>
      </c>
      <c r="AM33" t="str">
        <f>IF($B33=727,SUM($G33-(SUM($H33:$I33))),"")</f>
        <v/>
      </c>
      <c r="AN33" t="str">
        <f>IF($B33=718,SUM($G33-(SUM($H33:$I33))),"")</f>
        <v/>
      </c>
      <c r="AO33" t="str">
        <f>IF($B33=719,SUM($G33-(SUM($H33:$I33))),"")</f>
        <v/>
      </c>
      <c r="AP33" t="str">
        <f>IF($B33=717,SUM($G33-(SUM($H33:$I33))),"")</f>
        <v/>
      </c>
      <c r="AQ33" t="str">
        <f>IF($B33=722,SUM($G33-(SUM($H33:$I33))),"")</f>
        <v/>
      </c>
      <c r="AR33" t="str">
        <f>IF($B33=708,SUM($G33-(SUM($H33:$I33))),"")</f>
        <v/>
      </c>
      <c r="AS33" t="str">
        <f>IF($B33=701,SUM($G33-(SUM($H33:$I33))),"")</f>
        <v/>
      </c>
      <c r="AT33" t="str">
        <f>IF($B33=702,SUM($G33-(SUM($H33:$I33))),"")</f>
        <v/>
      </c>
      <c r="AU33" t="str">
        <f>IF($B33=731,SUM($G33-(SUM($H33:$I33))),"")</f>
        <v/>
      </c>
      <c r="AV33" t="n">
        <f>IF($B33=730,SUM($G33-(SUM($H33:$I33))),"")</f>
        <v>0.0</v>
      </c>
    </row>
    <row r="34">
      <c r="B34" t="n" s="0">
        <v>711.0</v>
      </c>
      <c r="C34" t="s">
        <v>82</v>
      </c>
      <c r="D34" t="n">
        <f>D33+G34</f>
        <v>0.0</v>
      </c>
      <c r="F34" t="n">
        <f>SUM(H34:AV34)-G34</f>
        <v>0.0</v>
      </c>
      <c r="G34" s="2" t="n">
        <v>0.0</v>
      </c>
      <c r="H34" t="str">
        <f>IF(G34/23*3&gt;0,SUM(G34/23*3),"")</f>
        <v/>
      </c>
      <c r="I34" t="str">
        <f>IF(G34/23*3&lt;0,SUM(G34/23*3),"")</f>
        <v/>
      </c>
      <c r="J34" t="str">
        <f>IF($B34=707,SUM($G34-(SUM($H34:$I34))),"")</f>
        <v/>
      </c>
      <c r="K34" t="str">
        <f>IF($B34=706,SUM($G34-(SUM($H34:$I34))),"")</f>
        <v/>
      </c>
      <c r="L34" t="str">
        <f>IF($B34=703,SUM($G34-(SUM($H34:$I34))),"")</f>
        <v/>
      </c>
      <c r="M34" t="str">
        <f>IF($B34=704,SUM($G34-(SUM($H34:$I34))),"")</f>
        <v/>
      </c>
      <c r="N34" t="str">
        <f>IF($B34=709,SUM($G34-(SUM($H34:$I34))),"")</f>
        <v/>
      </c>
      <c r="O34" t="str">
        <f>IF($B34=738,SUM($G34-(SUM($H34:$I34))),"")</f>
        <v/>
      </c>
      <c r="P34" t="str">
        <f>IF($B34=739,SUM($G34-(SUM($H34:$I34))),"")</f>
        <v/>
      </c>
      <c r="Q34" t="str">
        <f>IF($B34=714,SUM($G34-(SUM($H34:$I34))),"")</f>
        <v/>
      </c>
      <c r="R34" t="str">
        <f>IF($B34=710,SUM($G34-(SUM($H34:$I34))),"")</f>
        <v/>
      </c>
      <c r="S34" t="n">
        <f>IF($B34=711,SUM($G34-(SUM($H34:$I34))),"")</f>
        <v>0.0</v>
      </c>
      <c r="T34" t="str">
        <f>IF($B34=712,SUM($G34-(SUM($H34:$I34))),"")</f>
        <v/>
      </c>
      <c r="U34" t="str">
        <f>IF($B34=713,SUM($G34-(SUM($H34:$I34))),"")</f>
        <v/>
      </c>
      <c r="V34" t="str">
        <f>IF($B34=715,SUM($G34-(SUM($H34:$I34))),"")</f>
        <v/>
      </c>
      <c r="W34" t="str">
        <f>IF($B34=724,SUM($G34-(SUM($H34:$I34))),"")</f>
        <v/>
      </c>
      <c r="X34" t="str">
        <f>IF($B34=725,SUM($G34-(SUM($H34:$I34))),"")</f>
        <v/>
      </c>
      <c r="Y34" t="str">
        <f>IF($B34=726,SUM($G34-(SUM($H34:$I34))),"")</f>
        <v/>
      </c>
      <c r="Z34" t="str">
        <f>IF($B34=727,SUM($G34-(SUM($H34:$I34))),"")</f>
        <v/>
      </c>
      <c r="AA34" t="str">
        <f>IF($B34=728,SUM($G34-(SUM($H34:$I34))),"")</f>
        <v/>
      </c>
      <c r="AB34" t="str">
        <f>IF($B34=729,SUM($G34-(SUM($H34:$I34))),"")</f>
        <v/>
      </c>
      <c r="AC34" t="str">
        <f>IF($B34=730,SUM($G34-(SUM($H34:$I34))),"")</f>
        <v/>
      </c>
      <c r="AD34" t="str">
        <f>IF($B34=732,SUM($G34-(SUM($H34:$I34))),"")</f>
        <v/>
      </c>
      <c r="AE34" t="str">
        <f>IF($B34=733,SUM($G34-(SUM($H34:$I34))),"")</f>
        <v/>
      </c>
      <c r="AF34" t="str">
        <f>IF($B34=734,SUM($G34-(SUM($H34:$I34))),"")</f>
        <v/>
      </c>
      <c r="AG34" t="str">
        <f>IF($B34=705,SUM($G34-(SUM($H34:$I34))),"")</f>
        <v/>
      </c>
      <c r="AH34" t="str">
        <f>IF($B34=735,SUM($G34-(SUM($H34:$I34))),"")</f>
        <v/>
      </c>
      <c r="AI34" t="str">
        <f>IF($B34=736,SUM($G34-(SUM($H34:$I34))),"")</f>
        <v/>
      </c>
      <c r="AJ34" t="str">
        <f>IF($B34=737,SUM($G34-(SUM($H34:$I34))),"")</f>
        <v/>
      </c>
      <c r="AK34" t="str">
        <f>IF($B34=725,SUM($G34-(SUM($H34:$I34))),"")</f>
        <v/>
      </c>
      <c r="AL34" t="str">
        <f>IF($B34=735,SUM($G34-(SUM($H34:$I34))),"")</f>
        <v/>
      </c>
      <c r="AM34" t="str">
        <f>IF($B34=727,SUM($G34-(SUM($H34:$I34))),"")</f>
        <v/>
      </c>
      <c r="AN34" t="str">
        <f>IF($B34=718,SUM($G34-(SUM($H34:$I34))),"")</f>
        <v/>
      </c>
      <c r="AO34" t="str">
        <f>IF($B34=719,SUM($G34-(SUM($H34:$I34))),"")</f>
        <v/>
      </c>
      <c r="AP34" t="str">
        <f>IF($B34=717,SUM($G34-(SUM($H34:$I34))),"")</f>
        <v/>
      </c>
      <c r="AQ34" t="str">
        <f>IF($B34=722,SUM($G34-(SUM($H34:$I34))),"")</f>
        <v/>
      </c>
      <c r="AR34" t="str">
        <f>IF($B34=708,SUM($G34-(SUM($H34:$I34))),"")</f>
        <v/>
      </c>
      <c r="AS34" t="str">
        <f>IF($B34=701,SUM($G34-(SUM($H34:$I34))),"")</f>
        <v/>
      </c>
      <c r="AT34" t="str">
        <f>IF($B34=702,SUM($G34-(SUM($H34:$I34))),"")</f>
        <v/>
      </c>
      <c r="AU34" t="str">
        <f>IF($B34=731,SUM($G34-(SUM($H34:$I34))),"")</f>
        <v/>
      </c>
      <c r="AV34" t="str">
        <f>IF($B34=730,SUM($G34-(SUM($H34:$I34))),"")</f>
        <v/>
      </c>
    </row>
    <row r="35">
      <c r="B35" t="n" s="0">
        <v>732.0</v>
      </c>
      <c r="C35" t="s">
        <v>87</v>
      </c>
      <c r="D35" t="n">
        <f>D34+G35</f>
        <v>0.0</v>
      </c>
      <c r="F35" t="n">
        <f>SUM(H35:AV35)-G35</f>
        <v>0.0</v>
      </c>
      <c r="G35" s="2" t="n">
        <v>0.0</v>
      </c>
      <c r="H35" t="str">
        <f>IF(G35/23*3&gt;0,SUM(G35/23*3),"")</f>
        <v/>
      </c>
      <c r="I35" t="str">
        <f>IF(G35/23*3&lt;0,SUM(G35/23*3),"")</f>
        <v/>
      </c>
      <c r="J35" t="str">
        <f>IF($B35=707,SUM($G35-(SUM($H35:$I35))),"")</f>
        <v/>
      </c>
      <c r="K35" t="str">
        <f>IF($B35=706,SUM($G35-(SUM($H35:$I35))),"")</f>
        <v/>
      </c>
      <c r="L35" t="str">
        <f>IF($B35=703,SUM($G35-(SUM($H35:$I35))),"")</f>
        <v/>
      </c>
      <c r="M35" t="str">
        <f>IF($B35=704,SUM($G35-(SUM($H35:$I35))),"")</f>
        <v/>
      </c>
      <c r="N35" t="str">
        <f>IF($B35=709,SUM($G35-(SUM($H35:$I35))),"")</f>
        <v/>
      </c>
      <c r="O35" t="str">
        <f>IF($B35=738,SUM($G35-(SUM($H35:$I35))),"")</f>
        <v/>
      </c>
      <c r="P35" t="str">
        <f>IF($B35=739,SUM($G35-(SUM($H35:$I35))),"")</f>
        <v/>
      </c>
      <c r="Q35" t="str">
        <f>IF($B35=714,SUM($G35-(SUM($H35:$I35))),"")</f>
        <v/>
      </c>
      <c r="R35" t="str">
        <f>IF($B35=710,SUM($G35-(SUM($H35:$I35))),"")</f>
        <v/>
      </c>
      <c r="S35" t="str">
        <f>IF($B35=711,SUM($G35-(SUM($H35:$I35))),"")</f>
        <v/>
      </c>
      <c r="T35" t="str">
        <f>IF($B35=712,SUM($G35-(SUM($H35:$I35))),"")</f>
        <v/>
      </c>
      <c r="U35" t="str">
        <f>IF($B35=713,SUM($G35-(SUM($H35:$I35))),"")</f>
        <v/>
      </c>
      <c r="V35" t="str">
        <f>IF($B35=715,SUM($G35-(SUM($H35:$I35))),"")</f>
        <v/>
      </c>
      <c r="W35" t="str">
        <f>IF($B35=724,SUM($G35-(SUM($H35:$I35))),"")</f>
        <v/>
      </c>
      <c r="X35" t="str">
        <f>IF($B35=725,SUM($G35-(SUM($H35:$I35))),"")</f>
        <v/>
      </c>
      <c r="Y35" t="str">
        <f>IF($B35=726,SUM($G35-(SUM($H35:$I35))),"")</f>
        <v/>
      </c>
      <c r="Z35" t="str">
        <f>IF($B35=727,SUM($G35-(SUM($H35:$I35))),"")</f>
        <v/>
      </c>
      <c r="AA35" t="str">
        <f>IF($B35=728,SUM($G35-(SUM($H35:$I35))),"")</f>
        <v/>
      </c>
      <c r="AB35" t="str">
        <f>IF($B35=729,SUM($G35-(SUM($H35:$I35))),"")</f>
        <v/>
      </c>
      <c r="AC35" t="str">
        <f>IF($B35=730,SUM($G35-(SUM($H35:$I35))),"")</f>
        <v/>
      </c>
      <c r="AD35" t="n">
        <f>IF($B35=732,SUM($G35-(SUM($H35:$I35))),"")</f>
        <v>0.0</v>
      </c>
      <c r="AE35" t="str">
        <f>IF($B35=733,SUM($G35-(SUM($H35:$I35))),"")</f>
        <v/>
      </c>
      <c r="AF35" t="str">
        <f>IF($B35=734,SUM($G35-(SUM($H35:$I35))),"")</f>
        <v/>
      </c>
      <c r="AG35" t="str">
        <f>IF($B35=705,SUM($G35-(SUM($H35:$I35))),"")</f>
        <v/>
      </c>
      <c r="AH35" t="str">
        <f>IF($B35=735,SUM($G35-(SUM($H35:$I35))),"")</f>
        <v/>
      </c>
      <c r="AI35" t="str">
        <f>IF($B35=736,SUM($G35-(SUM($H35:$I35))),"")</f>
        <v/>
      </c>
      <c r="AJ35" t="str">
        <f>IF($B35=737,SUM($G35-(SUM($H35:$I35))),"")</f>
        <v/>
      </c>
      <c r="AK35" t="str">
        <f>IF($B35=725,SUM($G35-(SUM($H35:$I35))),"")</f>
        <v/>
      </c>
      <c r="AL35" t="str">
        <f>IF($B35=735,SUM($G35-(SUM($H35:$I35))),"")</f>
        <v/>
      </c>
      <c r="AM35" t="str">
        <f>IF($B35=727,SUM($G35-(SUM($H35:$I35))),"")</f>
        <v/>
      </c>
      <c r="AN35" t="str">
        <f>IF($B35=718,SUM($G35-(SUM($H35:$I35))),"")</f>
        <v/>
      </c>
      <c r="AO35" t="str">
        <f>IF($B35=719,SUM($G35-(SUM($H35:$I35))),"")</f>
        <v/>
      </c>
      <c r="AP35" t="str">
        <f>IF($B35=717,SUM($G35-(SUM($H35:$I35))),"")</f>
        <v/>
      </c>
      <c r="AQ35" t="str">
        <f>IF($B35=722,SUM($G35-(SUM($H35:$I35))),"")</f>
        <v/>
      </c>
      <c r="AR35" t="str">
        <f>IF($B35=708,SUM($G35-(SUM($H35:$I35))),"")</f>
        <v/>
      </c>
      <c r="AS35" t="str">
        <f>IF($B35=701,SUM($G35-(SUM($H35:$I35))),"")</f>
        <v/>
      </c>
      <c r="AT35" t="str">
        <f>IF($B35=702,SUM($G35-(SUM($H35:$I35))),"")</f>
        <v/>
      </c>
      <c r="AU35" t="str">
        <f>IF($B35=731,SUM($G35-(SUM($H35:$I35))),"")</f>
        <v/>
      </c>
      <c r="AV35" t="str">
        <f>IF($B35=730,SUM($G35-(SUM($H35:$I35))),"")</f>
        <v/>
      </c>
    </row>
    <row r="36">
      <c r="B36" t="n" s="0">
        <v>739.0</v>
      </c>
      <c r="C36" t="s">
        <v>84</v>
      </c>
      <c r="D36" t="n">
        <f>D35+G36</f>
        <v>0.0</v>
      </c>
      <c r="F36" t="n">
        <f>SUM(H36:AV36)-G36</f>
        <v>0.0</v>
      </c>
      <c r="G36" s="2" t="n">
        <v>0.0</v>
      </c>
      <c r="H36" t="str">
        <f>IF(G36/23*3&gt;0,SUM(G36/23*3),"")</f>
        <v/>
      </c>
      <c r="I36" t="n">
        <v>0.0</v>
      </c>
      <c r="J36" t="str">
        <f>IF($B36=707,SUM($G36-(SUM($H36:$I36))),"")</f>
        <v/>
      </c>
      <c r="K36" t="str">
        <f>IF($B36=706,SUM($G36-(SUM($H36:$I36))),"")</f>
        <v/>
      </c>
      <c r="L36" t="str">
        <f>IF($B36=703,SUM($G36-(SUM($H36:$I36))),"")</f>
        <v/>
      </c>
      <c r="M36" t="str">
        <f>IF($B36=704,SUM($G36-(SUM($H36:$I36))),"")</f>
        <v/>
      </c>
      <c r="N36" t="str">
        <f>IF($B36=709,SUM($G36-(SUM($H36:$I36))),"")</f>
        <v/>
      </c>
      <c r="O36" t="str">
        <f>IF($B36=738,SUM($G36-(SUM($H36:$I36))),"")</f>
        <v/>
      </c>
      <c r="P36" t="n">
        <f>IF($B36=739,SUM($G36-(SUM($H36:$I36))),"")</f>
        <v>0.0</v>
      </c>
      <c r="Q36" t="str">
        <f>IF($B36=714,SUM($G36-(SUM($H36:$I36))),"")</f>
        <v/>
      </c>
      <c r="R36" t="str">
        <f>IF($B36=710,SUM($G36-(SUM($H36:$I36))),"")</f>
        <v/>
      </c>
      <c r="S36" t="str">
        <f>IF($B36=711,SUM($G36-(SUM($H36:$I36))),"")</f>
        <v/>
      </c>
      <c r="T36" t="str">
        <f>IF($B36=712,SUM($G36-(SUM($H36:$I36))),"")</f>
        <v/>
      </c>
      <c r="U36" t="str">
        <f>IF($B36=713,SUM($G36-(SUM($H36:$I36))),"")</f>
        <v/>
      </c>
      <c r="V36" t="str">
        <f>IF($B36=715,SUM($G36-(SUM($H36:$I36))),"")</f>
        <v/>
      </c>
      <c r="W36" t="str">
        <f>IF($B36=724,SUM($G36-(SUM($H36:$I36))),"")</f>
        <v/>
      </c>
      <c r="X36" t="str">
        <f>IF($B36=725,SUM($G36-(SUM($H36:$I36))),"")</f>
        <v/>
      </c>
      <c r="Y36" t="str">
        <f>IF($B36=726,SUM($G36-(SUM($H36:$I36))),"")</f>
        <v/>
      </c>
      <c r="Z36" t="str">
        <f>IF($B36=727,SUM($G36-(SUM($H36:$I36))),"")</f>
        <v/>
      </c>
      <c r="AA36" t="str">
        <f>IF($B36=728,SUM($G36-(SUM($H36:$I36))),"")</f>
        <v/>
      </c>
      <c r="AB36" t="str">
        <f>IF($B36=729,SUM($G36-(SUM($H36:$I36))),"")</f>
        <v/>
      </c>
      <c r="AC36" t="str">
        <f>IF($B36=730,SUM($G36-(SUM($H36:$I36))),"")</f>
        <v/>
      </c>
      <c r="AD36" t="str">
        <f>IF($B36=732,SUM($G36-(SUM($H36:$I36))),"")</f>
        <v/>
      </c>
      <c r="AE36" t="str">
        <f>IF($B36=733,SUM($G36-(SUM($H36:$I36))),"")</f>
        <v/>
      </c>
      <c r="AF36" t="str">
        <f>IF($B36=734,SUM($G36-(SUM($H36:$I36))),"")</f>
        <v/>
      </c>
      <c r="AG36" t="str">
        <f>IF($B36=705,SUM($G36-(SUM($H36:$I36))),"")</f>
        <v/>
      </c>
      <c r="AH36" t="str">
        <f>IF($B36=735,SUM($G36-(SUM($H36:$I36))),"")</f>
        <v/>
      </c>
      <c r="AI36" t="str">
        <f>IF($B36=736,SUM($G36-(SUM($H36:$I36))),"")</f>
        <v/>
      </c>
      <c r="AJ36" t="str">
        <f>IF($B36=737,SUM($G36-(SUM($H36:$I36))),"")</f>
        <v/>
      </c>
      <c r="AK36" t="str">
        <f>IF($B36=725,SUM($G36-(SUM($H36:$I36))),"")</f>
        <v/>
      </c>
      <c r="AL36" t="str">
        <f>IF($B36=735,SUM($G36-(SUM($H36:$I36))),"")</f>
        <v/>
      </c>
      <c r="AM36" t="str">
        <f>IF($B36=727,SUM($G36-(SUM($H36:$I36))),"")</f>
        <v/>
      </c>
      <c r="AN36" t="str">
        <f>IF($B36=718,SUM($G36-(SUM($H36:$I36))),"")</f>
        <v/>
      </c>
      <c r="AO36" t="str">
        <f>IF($B36=719,SUM($G36-(SUM($H36:$I36))),"")</f>
        <v/>
      </c>
      <c r="AP36" t="str">
        <f>IF($B36=717,SUM($G36-(SUM($H36:$I36))),"")</f>
        <v/>
      </c>
      <c r="AQ36" t="str">
        <f>IF($B36=722,SUM($G36-(SUM($H36:$I36))),"")</f>
        <v/>
      </c>
      <c r="AR36" t="str">
        <f>IF($B36=708,SUM($G36-(SUM($H36:$I36))),"")</f>
        <v/>
      </c>
      <c r="AS36" t="str">
        <f>IF($B36=701,SUM($G36-(SUM($H36:$I36))),"")</f>
        <v/>
      </c>
      <c r="AT36" t="str">
        <f>IF($B36=702,SUM($G36-(SUM($H36:$I36))),"")</f>
        <v/>
      </c>
      <c r="AU36" t="str">
        <f>IF($B36=731,SUM($G36-(SUM($H36:$I36))),"")</f>
        <v/>
      </c>
      <c r="AV36" t="str">
        <f>IF($B36=730,SUM($G36-(SUM($H36:$I36))),"")</f>
        <v/>
      </c>
    </row>
    <row r="37">
      <c r="B37" t="n" s="0">
        <v>733.0</v>
      </c>
      <c r="C37" t="s">
        <v>83</v>
      </c>
      <c r="D37" t="n">
        <f>D36+G37</f>
        <v>0.0</v>
      </c>
      <c r="F37" t="n">
        <f>SUM(H37:AV37)-G37</f>
        <v>0.0</v>
      </c>
      <c r="G37" s="2" t="n">
        <v>0.0</v>
      </c>
      <c r="H37" t="str">
        <f>IF(G37/23*3&gt;0,SUM(G37/23*3),"")</f>
        <v/>
      </c>
      <c r="I37" t="str">
        <f>IF(G37/23*3&lt;0,SUM(G37/23*3),"")</f>
        <v/>
      </c>
      <c r="J37" t="str">
        <f>IF($B37=707,SUM($G37-(SUM($H37:$I37))),"")</f>
        <v/>
      </c>
      <c r="K37" t="str">
        <f>IF($B37=706,SUM($G37-(SUM($H37:$I37))),"")</f>
        <v/>
      </c>
      <c r="L37" t="str">
        <f>IF($B37=703,SUM($G37-(SUM($H37:$I37))),"")</f>
        <v/>
      </c>
      <c r="M37" t="str">
        <f>IF($B37=704,SUM($G37-(SUM($H37:$I37))),"")</f>
        <v/>
      </c>
      <c r="N37" t="str">
        <f>IF($B37=709,SUM($G37-(SUM($H37:$I37))),"")</f>
        <v/>
      </c>
      <c r="O37" t="str">
        <f>IF($B37=738,SUM($G37-(SUM($H37:$I37))),"")</f>
        <v/>
      </c>
      <c r="P37" t="str">
        <f>IF($B37=739,SUM($G37-(SUM($H37:$I37))),"")</f>
        <v/>
      </c>
      <c r="Q37" t="str">
        <f>IF($B37=714,SUM($G37-(SUM($H37:$I37))),"")</f>
        <v/>
      </c>
      <c r="R37" t="str">
        <f>IF($B37=710,SUM($G37-(SUM($H37:$I37))),"")</f>
        <v/>
      </c>
      <c r="S37" t="str">
        <f>IF($B37=711,SUM($G37-(SUM($H37:$I37))),"")</f>
        <v/>
      </c>
      <c r="T37" t="str">
        <f>IF($B37=712,SUM($G37-(SUM($H37:$I37))),"")</f>
        <v/>
      </c>
      <c r="U37" t="str">
        <f>IF($B37=713,SUM($G37-(SUM($H37:$I37))),"")</f>
        <v/>
      </c>
      <c r="V37" t="str">
        <f>IF($B37=715,SUM($G37-(SUM($H37:$I37))),"")</f>
        <v/>
      </c>
      <c r="W37" t="str">
        <f>IF($B37=724,SUM($G37-(SUM($H37:$I37))),"")</f>
        <v/>
      </c>
      <c r="X37" t="str">
        <f>IF($B37=725,SUM($G37-(SUM($H37:$I37))),"")</f>
        <v/>
      </c>
      <c r="Y37" t="str">
        <f>IF($B37=726,SUM($G37-(SUM($H37:$I37))),"")</f>
        <v/>
      </c>
      <c r="Z37" t="str">
        <f>IF($B37=727,SUM($G37-(SUM($H37:$I37))),"")</f>
        <v/>
      </c>
      <c r="AA37" t="str">
        <f>IF($B37=728,SUM($G37-(SUM($H37:$I37))),"")</f>
        <v/>
      </c>
      <c r="AB37" t="str">
        <f>IF($B37=729,SUM($G37-(SUM($H37:$I37))),"")</f>
        <v/>
      </c>
      <c r="AC37" t="str">
        <f>IF($B37=730,SUM($G37-(SUM($H37:$I37))),"")</f>
        <v/>
      </c>
      <c r="AD37" t="str">
        <f>IF($B37=732,SUM($G37-(SUM($H37:$I37))),"")</f>
        <v/>
      </c>
      <c r="AE37" t="n">
        <f>IF($B37=733,SUM($G37-(SUM($H37:$I37))),"")</f>
        <v>0.0</v>
      </c>
      <c r="AF37" t="str">
        <f>IF($B37=734,SUM($G37-(SUM($H37:$I37))),"")</f>
        <v/>
      </c>
      <c r="AG37" t="str">
        <f>IF($B37=705,SUM($G37-(SUM($H37:$I37))),"")</f>
        <v/>
      </c>
      <c r="AH37" t="str">
        <f>IF($B37=735,SUM($G37-(SUM($H37:$I37))),"")</f>
        <v/>
      </c>
      <c r="AI37" t="str">
        <f>IF($B37=736,SUM($G37-(SUM($H37:$I37))),"")</f>
        <v/>
      </c>
      <c r="AJ37" t="str">
        <f>IF($B37=737,SUM($G37-(SUM($H37:$I37))),"")</f>
        <v/>
      </c>
      <c r="AK37" t="str">
        <f>IF($B37=725,SUM($G37-(SUM($H37:$I37))),"")</f>
        <v/>
      </c>
      <c r="AL37" t="str">
        <f>IF($B37=735,SUM($G37-(SUM($H37:$I37))),"")</f>
        <v/>
      </c>
      <c r="AM37" t="str">
        <f>IF($B37=727,SUM($G37-(SUM($H37:$I37))),"")</f>
        <v/>
      </c>
      <c r="AN37" t="str">
        <f>IF($B37=718,SUM($G37-(SUM($H37:$I37))),"")</f>
        <v/>
      </c>
      <c r="AO37" t="str">
        <f>IF($B37=719,SUM($G37-(SUM($H37:$I37))),"")</f>
        <v/>
      </c>
      <c r="AP37" t="str">
        <f>IF($B37=717,SUM($G37-(SUM($H37:$I37))),"")</f>
        <v/>
      </c>
      <c r="AQ37" t="str">
        <f>IF($B37=722,SUM($G37-(SUM($H37:$I37))),"")</f>
        <v/>
      </c>
      <c r="AR37" t="str">
        <f>IF($B37=708,SUM($G37-(SUM($H37:$I37))),"")</f>
        <v/>
      </c>
      <c r="AS37" t="str">
        <f>IF($B37=701,SUM($G37-(SUM($H37:$I37))),"")</f>
        <v/>
      </c>
      <c r="AT37" t="str">
        <f>IF($B37=702,SUM($G37-(SUM($H37:$I37))),"")</f>
        <v/>
      </c>
      <c r="AU37" t="str">
        <f>IF($B37=731,SUM($G37-(SUM($H37:$I37))),"")</f>
        <v/>
      </c>
      <c r="AV37" t="str">
        <f>IF($B37=730,SUM($G37-(SUM($H37:$I37))),"")</f>
        <v/>
      </c>
    </row>
    <row r="38">
      <c r="D38" t="n" s="0">
        <f>D37+G38</f>
        <v>0.0</v>
      </c>
      <c r="F38" t="n" s="0">
        <f>SUM(H38:AV38)-G38</f>
        <v>0.0</v>
      </c>
      <c r="H38" t="str" s="0">
        <f>IF(G38/23*3&gt;0,SUM(G38/23*3),"")</f>
        <v/>
      </c>
      <c r="I38" t="str" s="0">
        <f>IF(G38/23*3&lt;0,SUM(G38/23*3),"")</f>
        <v/>
      </c>
      <c r="J38" t="str" s="0">
        <f>IF($B38=707,SUM($G38-(SUM($H38:$I38))),"")</f>
        <v/>
      </c>
      <c r="K38" t="str" s="0">
        <f>IF($B38=706,SUM($G38-(SUM($H38:$I38))),"")</f>
        <v/>
      </c>
      <c r="L38" t="str" s="0">
        <f>IF($B38=703,SUM($G38-(SUM($H38:$I38))),"")</f>
        <v/>
      </c>
      <c r="M38" t="str" s="0">
        <f>IF($B38=704,SUM($G38-(SUM($H38:$I38))),"")</f>
        <v/>
      </c>
      <c r="N38" t="str" s="0">
        <f>IF($B38=709,SUM($G38-(SUM($H38:$I38))),"")</f>
        <v/>
      </c>
      <c r="O38" t="str" s="0">
        <f>IF($B38=738,SUM($G38-(SUM($H38:$I38))),"")</f>
        <v/>
      </c>
      <c r="P38" t="str" s="0">
        <f>IF($B38=739,SUM($G38-(SUM($H38:$I38))),"")</f>
        <v/>
      </c>
      <c r="Q38" t="str" s="0">
        <f>IF($B38=714,SUM($G38-(SUM($H38:$I38))),"")</f>
        <v/>
      </c>
      <c r="R38" t="str" s="0">
        <f>IF($B38=710,SUM($G38-(SUM($H38:$I38))),"")</f>
        <v/>
      </c>
      <c r="S38" t="str" s="0">
        <f>IF($B38=711,SUM($G38-(SUM($H38:$I38))),"")</f>
        <v/>
      </c>
      <c r="T38" t="str" s="0">
        <f>IF($B38=712,SUM($G38-(SUM($H38:$I38))),"")</f>
        <v/>
      </c>
      <c r="U38" t="str" s="0">
        <f>IF($B38=713,SUM($G38-(SUM($H38:$I38))),"")</f>
        <v/>
      </c>
      <c r="V38" t="str" s="0">
        <f>IF($B38=715,SUM($G38-(SUM($H38:$I38))),"")</f>
        <v/>
      </c>
      <c r="W38" t="str" s="0">
        <f>IF($B38=724,SUM($G38-(SUM($H38:$I38))),"")</f>
        <v/>
      </c>
      <c r="X38" t="str" s="0">
        <f>IF($B38=725,SUM($G38-(SUM($H38:$I38))),"")</f>
        <v/>
      </c>
      <c r="Y38" t="str" s="0">
        <f>IF($B38=726,SUM($G38-(SUM($H38:$I38))),"")</f>
        <v/>
      </c>
      <c r="Z38" t="str" s="0">
        <f>IF($B38=727,SUM($G38-(SUM($H38:$I38))),"")</f>
        <v/>
      </c>
      <c r="AA38" t="str" s="0">
        <f>IF($B38=728,SUM($G38-(SUM($H38:$I38))),"")</f>
        <v/>
      </c>
      <c r="AB38" t="str" s="0">
        <f>IF($B38=729,SUM($G38-(SUM($H38:$I38))),"")</f>
        <v/>
      </c>
      <c r="AC38" t="str" s="0">
        <f>IF($B38=730,SUM($G38-(SUM($H38:$I38))),"")</f>
        <v/>
      </c>
      <c r="AD38" t="str" s="0">
        <f>IF($B38=732,SUM($G38-(SUM($H38:$I38))),"")</f>
        <v/>
      </c>
      <c r="AE38" t="str" s="0">
        <f>IF($B38=733,SUM($G38-(SUM($H38:$I38))),"")</f>
        <v/>
      </c>
      <c r="AF38" t="str" s="0">
        <f>IF($B38=734,SUM($G38-(SUM($H38:$I38))),"")</f>
        <v/>
      </c>
      <c r="AG38" t="str" s="0">
        <f>IF($B38=705,SUM($G38-(SUM($H38:$I38))),"")</f>
        <v/>
      </c>
      <c r="AH38" t="str" s="0">
        <f>IF($B38=735,SUM($G38-(SUM($H38:$I38))),"")</f>
        <v/>
      </c>
      <c r="AI38" t="str" s="0">
        <f>IF($B38=736,SUM($G38-(SUM($H38:$I38))),"")</f>
        <v/>
      </c>
      <c r="AJ38" t="str" s="0">
        <f>IF($B38=737,SUM($G38-(SUM($H38:$I38))),"")</f>
        <v/>
      </c>
      <c r="AK38" t="str" s="0">
        <f>IF($B38=725,SUM($G38-(SUM($H38:$I38))),"")</f>
        <v/>
      </c>
      <c r="AL38" t="str" s="0">
        <f>IF($B38=735,SUM($G38-(SUM($H38:$I38))),"")</f>
        <v/>
      </c>
      <c r="AM38" t="str" s="0">
        <f>IF($B38=727,SUM($G38-(SUM($H38:$I38))),"")</f>
        <v/>
      </c>
      <c r="AN38" t="str" s="0">
        <f>IF($B38=718,SUM($G38-(SUM($H38:$I38))),"")</f>
        <v/>
      </c>
      <c r="AO38" t="str" s="0">
        <f>IF($B38=719,SUM($G38-(SUM($H38:$I38))),"")</f>
        <v/>
      </c>
      <c r="AP38" t="str" s="0">
        <f>IF($B38=717,SUM($G38-(SUM($H38:$I38))),"")</f>
        <v/>
      </c>
      <c r="AQ38" t="str" s="0">
        <f>IF($B38=722,SUM($G38-(SUM($H38:$I38))),"")</f>
        <v/>
      </c>
      <c r="AR38" t="str" s="0">
        <f>IF($B38=708,SUM($G38-(SUM($H38:$I38))),"")</f>
        <v/>
      </c>
      <c r="AS38" t="str" s="0">
        <f>IF($B38=701,SUM($G38-(SUM($H38:$I38))),"")</f>
        <v/>
      </c>
      <c r="AT38" t="str" s="0">
        <f>IF($B38=702,SUM($G38-(SUM($H38:$I38))),"")</f>
        <v/>
      </c>
      <c r="AU38" t="str" s="0">
        <f>IF($B38=731,SUM($G38-(SUM($H38:$I38))),"")</f>
        <v/>
      </c>
      <c r="AV38" t="str" s="0">
        <f>IF($B38=730,SUM($G38-(SUM($H38:$I38))),"")</f>
        <v/>
      </c>
    </row>
    <row r="39">
      <c r="B39" t="n" s="0">
        <v>707.0</v>
      </c>
      <c r="C39" t="s">
        <v>88</v>
      </c>
      <c r="D39" t="n">
        <f>D38+G39</f>
        <v>0.0</v>
      </c>
      <c r="F39" t="n">
        <f>SUM(H39:AV39)-G39</f>
        <v>0.0</v>
      </c>
      <c r="G39" s="2" t="n">
        <v>0.0</v>
      </c>
      <c r="H39" t="str">
        <f>IF(G39/23*3&gt;0,SUM(G39/23*3),"")</f>
        <v/>
      </c>
      <c r="I39" t="str">
        <f>IF(G39/23*3&lt;0,SUM(G39/23*3),"")</f>
        <v/>
      </c>
      <c r="J39" t="n">
        <f>IF($B39=707,SUM($G39-(SUM($H39:$I39))),"")</f>
        <v>0.0</v>
      </c>
      <c r="K39" t="str">
        <f>IF($B39=706,SUM($G39-(SUM($H39:$I39))),"")</f>
        <v/>
      </c>
      <c r="L39" t="str">
        <f>IF($B39=703,SUM($G39-(SUM($H39:$I39))),"")</f>
        <v/>
      </c>
      <c r="M39" t="str">
        <f>IF($B39=704,SUM($G39-(SUM($H39:$I39))),"")</f>
        <v/>
      </c>
      <c r="N39" t="str">
        <f>IF($B39=709,SUM($G39-(SUM($H39:$I39))),"")</f>
        <v/>
      </c>
      <c r="O39" t="str">
        <f>IF($B39=738,SUM($G39-(SUM($H39:$I39))),"")</f>
        <v/>
      </c>
      <c r="P39" t="str">
        <f>IF($B39=739,SUM($G39-(SUM($H39:$I39))),"")</f>
        <v/>
      </c>
      <c r="Q39" t="str">
        <f>IF($B39=714,SUM($G39-(SUM($H39:$I39))),"")</f>
        <v/>
      </c>
      <c r="R39" t="str">
        <f>IF($B39=710,SUM($G39-(SUM($H39:$I39))),"")</f>
        <v/>
      </c>
      <c r="S39" t="str">
        <f>IF($B39=711,SUM($G39-(SUM($H39:$I39))),"")</f>
        <v/>
      </c>
      <c r="T39" t="str">
        <f>IF($B39=712,SUM($G39-(SUM($H39:$I39))),"")</f>
        <v/>
      </c>
      <c r="U39" t="str">
        <f>IF($B39=713,SUM($G39-(SUM($H39:$I39))),"")</f>
        <v/>
      </c>
      <c r="V39" t="str">
        <f>IF($B39=715,SUM($G39-(SUM($H39:$I39))),"")</f>
        <v/>
      </c>
      <c r="W39" t="str">
        <f>IF($B39=724,SUM($G39-(SUM($H39:$I39))),"")</f>
        <v/>
      </c>
      <c r="X39" t="str">
        <f>IF($B39=725,SUM($G39-(SUM($H39:$I39))),"")</f>
        <v/>
      </c>
      <c r="Y39" t="str">
        <f>IF($B39=726,SUM($G39-(SUM($H39:$I39))),"")</f>
        <v/>
      </c>
      <c r="Z39" t="str">
        <f>IF($B39=727,SUM($G39-(SUM($H39:$I39))),"")</f>
        <v/>
      </c>
      <c r="AA39" t="str">
        <f>IF($B39=728,SUM($G39-(SUM($H39:$I39))),"")</f>
        <v/>
      </c>
      <c r="AB39" t="str">
        <f>IF($B39=729,SUM($G39-(SUM($H39:$I39))),"")</f>
        <v/>
      </c>
      <c r="AC39" t="str">
        <f>IF($B39=730,SUM($G39-(SUM($H39:$I39))),"")</f>
        <v/>
      </c>
      <c r="AD39" t="str">
        <f>IF($B39=732,SUM($G39-(SUM($H39:$I39))),"")</f>
        <v/>
      </c>
      <c r="AE39" t="str">
        <f>IF($B39=733,SUM($G39-(SUM($H39:$I39))),"")</f>
        <v/>
      </c>
      <c r="AF39" t="str">
        <f>IF($B39=734,SUM($G39-(SUM($H39:$I39))),"")</f>
        <v/>
      </c>
      <c r="AG39" t="str">
        <f>IF($B39=705,SUM($G39-(SUM($H39:$I39))),"")</f>
        <v/>
      </c>
      <c r="AH39" t="str">
        <f>IF($B39=735,SUM($G39-(SUM($H39:$I39))),"")</f>
        <v/>
      </c>
      <c r="AI39" t="str">
        <f>IF($B39=736,SUM($G39-(SUM($H39:$I39))),"")</f>
        <v/>
      </c>
      <c r="AJ39" t="str">
        <f>IF($B39=737,SUM($G39-(SUM($H39:$I39))),"")</f>
        <v/>
      </c>
      <c r="AK39" t="str">
        <f>IF($B39=725,SUM($G39-(SUM($H39:$I39))),"")</f>
        <v/>
      </c>
      <c r="AL39" t="str">
        <f>IF($B39=735,SUM($G39-(SUM($H39:$I39))),"")</f>
        <v/>
      </c>
      <c r="AM39" t="str">
        <f>IF($B39=727,SUM($G39-(SUM($H39:$I39))),"")</f>
        <v/>
      </c>
      <c r="AN39" t="str">
        <f>IF($B39=718,SUM($G39-(SUM($H39:$I39))),"")</f>
        <v/>
      </c>
      <c r="AO39" t="str">
        <f>IF($B39=719,SUM($G39-(SUM($H39:$I39))),"")</f>
        <v/>
      </c>
      <c r="AP39" t="str">
        <f>IF($B39=717,SUM($G39-(SUM($H39:$I39))),"")</f>
        <v/>
      </c>
      <c r="AQ39" t="str">
        <f>IF($B39=722,SUM($G39-(SUM($H39:$I39))),"")</f>
        <v/>
      </c>
      <c r="AR39" t="str">
        <f>IF($B39=708,SUM($G39-(SUM($H39:$I39))),"")</f>
        <v/>
      </c>
      <c r="AS39" t="str">
        <f>IF($B39=701,SUM($G39-(SUM($H39:$I39))),"")</f>
        <v/>
      </c>
      <c r="AT39" t="str">
        <f>IF($B39=702,SUM($G39-(SUM($H39:$I39))),"")</f>
        <v/>
      </c>
      <c r="AU39" t="str">
        <f>IF($B39=731,SUM($G39-(SUM($H39:$I39))),"")</f>
        <v/>
      </c>
      <c r="AV39" t="str">
        <f>IF($B39=730,SUM($G39-(SUM($H39:$I39))),"")</f>
        <v/>
      </c>
    </row>
    <row r="40">
      <c r="B40" t="n" s="0">
        <v>726.0</v>
      </c>
      <c r="C40" t="s">
        <v>78</v>
      </c>
      <c r="D40" t="n">
        <f>D39+G40</f>
        <v>0.0</v>
      </c>
      <c r="F40" t="n">
        <f>SUM(H40:AV40)-G40</f>
        <v>0.0</v>
      </c>
      <c r="G40" s="2" t="n">
        <f>-(OtherCalculation!C7)</f>
        <v>0.0</v>
      </c>
      <c r="H40" t="str">
        <f>IF(G40/23*3&gt;0,SUM(G40/23*3),"")</f>
        <v/>
      </c>
      <c r="I40" t="str">
        <f>IF(G40/23*3&lt;0,SUM(G40/23*3),"")</f>
        <v/>
      </c>
      <c r="J40" t="str">
        <f>IF($B40=707,SUM($G40-(SUM($H40:$I40))),"")</f>
        <v/>
      </c>
      <c r="K40" t="str">
        <f>IF($B40=706,SUM($G40-(SUM($H40:$I40))),"")</f>
        <v/>
      </c>
      <c r="L40" t="str">
        <f>IF($B40=703,SUM($G40-(SUM($H40:$I40))),"")</f>
        <v/>
      </c>
      <c r="M40" t="str">
        <f>IF($B40=704,SUM($G40-(SUM($H40:$I40))),"")</f>
        <v/>
      </c>
      <c r="N40" t="str">
        <f>IF($B40=709,SUM($G40-(SUM($H40:$I40))),"")</f>
        <v/>
      </c>
      <c r="O40" t="str">
        <f>IF($B40=738,SUM($G40-(SUM($H40:$I40))),"")</f>
        <v/>
      </c>
      <c r="P40" t="str">
        <f>IF($B40=739,SUM($G40-(SUM($H40:$I40))),"")</f>
        <v/>
      </c>
      <c r="Q40" t="str">
        <f>IF($B40=714,SUM($G40-(SUM($H40:$I40))),"")</f>
        <v/>
      </c>
      <c r="R40" t="str">
        <f>IF($B40=710,SUM($G40-(SUM($H40:$I40))),"")</f>
        <v/>
      </c>
      <c r="S40" t="str">
        <f>IF($B40=711,SUM($G40-(SUM($H40:$I40))),"")</f>
        <v/>
      </c>
      <c r="T40" t="str">
        <f>IF($B40=712,SUM($G40-(SUM($H40:$I40))),"")</f>
        <v/>
      </c>
      <c r="U40" t="str">
        <f>IF($B40=713,SUM($G40-(SUM($H40:$I40))),"")</f>
        <v/>
      </c>
      <c r="V40" t="str">
        <f>IF($B40=715,SUM($G40-(SUM($H40:$I40))),"")</f>
        <v/>
      </c>
      <c r="W40" t="str">
        <f>IF($B40=724,SUM($G40-(SUM($H40:$I40))),"")</f>
        <v/>
      </c>
      <c r="X40" t="str">
        <f>IF($B40=725,SUM($G40-(SUM($H40:$I40))),"")</f>
        <v/>
      </c>
      <c r="Y40" t="n">
        <f>IF($B40=726,SUM($G40-(SUM($H40:$I40))),"")</f>
        <v>0.0</v>
      </c>
      <c r="Z40" t="str">
        <f>IF($B40=727,SUM($G40-(SUM($H40:$I40))),"")</f>
        <v/>
      </c>
      <c r="AA40" t="str">
        <f>IF($B40=728,SUM($G40-(SUM($H40:$I40))),"")</f>
        <v/>
      </c>
      <c r="AB40" t="str">
        <f>IF($B40=729,SUM($G40-(SUM($H40:$I40))),"")</f>
        <v/>
      </c>
      <c r="AC40" t="str">
        <f>IF($B40=730,SUM($G40-(SUM($H40:$I40))),"")</f>
        <v/>
      </c>
      <c r="AD40" t="str">
        <f>IF($B40=732,SUM($G40-(SUM($H40:$I40))),"")</f>
        <v/>
      </c>
      <c r="AE40" t="str">
        <f>IF($B40=733,SUM($G40-(SUM($H40:$I40))),"")</f>
        <v/>
      </c>
      <c r="AF40" t="str">
        <f>IF($B40=734,SUM($G40-(SUM($H40:$I40))),"")</f>
        <v/>
      </c>
      <c r="AG40" t="str">
        <f>IF($B40=705,SUM($G40-(SUM($H40:$I40))),"")</f>
        <v/>
      </c>
      <c r="AH40" t="str">
        <f>IF($B40=735,SUM($G40-(SUM($H40:$I40))),"")</f>
        <v/>
      </c>
      <c r="AI40" t="str">
        <f>IF($B40=736,SUM($G40-(SUM($H40:$I40))),"")</f>
        <v/>
      </c>
      <c r="AJ40" t="str">
        <f>IF($B40=737,SUM($G40-(SUM($H40:$I40))),"")</f>
        <v/>
      </c>
      <c r="AK40" t="str">
        <f>IF($B40=725,SUM($G40-(SUM($H40:$I40))),"")</f>
        <v/>
      </c>
      <c r="AL40" t="str">
        <f>IF($B40=735,SUM($G40-(SUM($H40:$I40))),"")</f>
        <v/>
      </c>
      <c r="AM40" t="str">
        <f>IF($B40=727,SUM($G40-(SUM($H40:$I40))),"")</f>
        <v/>
      </c>
      <c r="AN40" t="str">
        <f>IF($B40=718,SUM($G40-(SUM($H40:$I40))),"")</f>
        <v/>
      </c>
      <c r="AO40" t="str">
        <f>IF($B40=719,SUM($G40-(SUM($H40:$I40))),"")</f>
        <v/>
      </c>
      <c r="AP40" t="str">
        <f>IF($B40=717,SUM($G40-(SUM($H40:$I40))),"")</f>
        <v/>
      </c>
      <c r="AQ40" t="str">
        <f>IF($B40=722,SUM($G40-(SUM($H40:$I40))),"")</f>
        <v/>
      </c>
      <c r="AR40" t="str">
        <f>IF($B40=708,SUM($G40-(SUM($H40:$I40))),"")</f>
        <v/>
      </c>
      <c r="AS40" t="str">
        <f>IF($B40=701,SUM($G40-(SUM($H40:$I40))),"")</f>
        <v/>
      </c>
      <c r="AT40" t="str">
        <f>IF($B40=702,SUM($G40-(SUM($H40:$I40))),"")</f>
        <v/>
      </c>
      <c r="AU40" t="str">
        <f>IF($B40=731,SUM($G40-(SUM($H40:$I40))),"")</f>
        <v/>
      </c>
      <c r="AV40" t="str">
        <f>IF($B40=730,SUM($G40-(SUM($H40:$I40))),"")</f>
        <v/>
      </c>
    </row>
    <row r="41">
      <c r="B41" t="n" s="0">
        <v>725.0</v>
      </c>
      <c r="C41" t="s">
        <v>77</v>
      </c>
      <c r="D41" t="n">
        <f>D40+G41</f>
        <v>0.0</v>
      </c>
      <c r="F41" t="n">
        <f>SUM(H41:AV41)-G41</f>
        <v>0.0</v>
      </c>
      <c r="G41" s="2" t="n">
        <v>0.0</v>
      </c>
      <c r="H41" t="str">
        <f>IF(G41/23*3&gt;0,SUM(G41/23*3),"")</f>
        <v/>
      </c>
      <c r="I41" t="str">
        <f>IF(G41/23*3&lt;0,SUM(G41/23*3),"")</f>
        <v/>
      </c>
      <c r="J41" t="str">
        <f>IF($B41=707,SUM($G41-(SUM($H41:$I41))),"")</f>
        <v/>
      </c>
      <c r="K41" t="str">
        <f>IF($B41=706,SUM($G41-(SUM($H41:$I41))),"")</f>
        <v/>
      </c>
      <c r="L41" t="str">
        <f>IF($B41=703,SUM($G41-(SUM($H41:$I41))),"")</f>
        <v/>
      </c>
      <c r="M41" t="str">
        <f>IF($B41=704,SUM($G41-(SUM($H41:$I41))),"")</f>
        <v/>
      </c>
      <c r="N41" t="str">
        <f>IF($B41=709,SUM($G41-(SUM($H41:$I41))),"")</f>
        <v/>
      </c>
      <c r="O41" t="str">
        <f>IF($B41=738,SUM($G41-(SUM($H41:$I41))),"")</f>
        <v/>
      </c>
      <c r="P41" t="str">
        <f>IF($B41=739,SUM($G41-(SUM($H41:$I41))),"")</f>
        <v/>
      </c>
      <c r="Q41" t="str">
        <f>IF($B41=714,SUM($G41-(SUM($H41:$I41))),"")</f>
        <v/>
      </c>
      <c r="R41" t="str">
        <f>IF($B41=710,SUM($G41-(SUM($H41:$I41))),"")</f>
        <v/>
      </c>
      <c r="S41" t="str">
        <f>IF($B41=711,SUM($G41-(SUM($H41:$I41))),"")</f>
        <v/>
      </c>
      <c r="T41" t="str">
        <f>IF($B41=712,SUM($G41-(SUM($H41:$I41))),"")</f>
        <v/>
      </c>
      <c r="U41" t="str">
        <f>IF($B41=713,SUM($G41-(SUM($H41:$I41))),"")</f>
        <v/>
      </c>
      <c r="V41" t="str">
        <f>IF($B41=715,SUM($G41-(SUM($H41:$I41))),"")</f>
        <v/>
      </c>
      <c r="W41" t="str">
        <f>IF($B41=724,SUM($G41-(SUM($H41:$I41))),"")</f>
        <v/>
      </c>
      <c r="X41" t="n">
        <f>IF($B41=725,SUM($G41-(SUM($H41:$I41))),"")</f>
        <v>0.0</v>
      </c>
      <c r="Y41" t="str">
        <f>IF($B41=726,SUM($G41-(SUM($H41:$I41))),"")</f>
        <v/>
      </c>
      <c r="Z41" t="str">
        <f>IF($B41=727,SUM($G41-(SUM($H41:$I41))),"")</f>
        <v/>
      </c>
      <c r="AA41" t="str">
        <f>IF($B41=728,SUM($G41-(SUM($H41:$I41))),"")</f>
        <v/>
      </c>
      <c r="AB41" t="str">
        <f>IF($B41=729,SUM($G41-(SUM($H41:$I41))),"")</f>
        <v/>
      </c>
      <c r="AC41" t="str">
        <f>IF($B41=730,SUM($G41-(SUM($H41:$I41))),"")</f>
        <v/>
      </c>
      <c r="AD41" t="str">
        <f>IF($B41=732,SUM($G41-(SUM($H41:$I41))),"")</f>
        <v/>
      </c>
      <c r="AE41" t="str">
        <f>IF($B41=733,SUM($G41-(SUM($H41:$I41))),"")</f>
        <v/>
      </c>
      <c r="AF41" t="str">
        <f>IF($B41=734,SUM($G41-(SUM($H41:$I41))),"")</f>
        <v/>
      </c>
      <c r="AG41" t="str">
        <f>IF($B41=705,SUM($G41-(SUM($H41:$I41))),"")</f>
        <v/>
      </c>
      <c r="AH41" t="str">
        <f>IF($B41=735,SUM($G41-(SUM($H41:$I41))),"")</f>
        <v/>
      </c>
      <c r="AI41" t="str">
        <f>IF($B41=736,SUM($G41-(SUM($H41:$I41))),"")</f>
        <v/>
      </c>
      <c r="AJ41" t="str">
        <f>IF($B41=737,SUM($G41-(SUM($H41:$I41))),"")</f>
        <v/>
      </c>
      <c r="AK41" t="n">
        <f>IF($B41=725,SUM($G41-(SUM($H41:$I41))),"")</f>
        <v>0.0</v>
      </c>
      <c r="AL41" t="str">
        <f>IF($B41=735,SUM($G41-(SUM($H41:$I41))),"")</f>
        <v/>
      </c>
      <c r="AM41" t="str">
        <f>IF($B41=727,SUM($G41-(SUM($H41:$I41))),"")</f>
        <v/>
      </c>
      <c r="AN41" t="str">
        <f>IF($B41=718,SUM($G41-(SUM($H41:$I41))),"")</f>
        <v/>
      </c>
      <c r="AO41" t="str">
        <f>IF($B41=719,SUM($G41-(SUM($H41:$I41))),"")</f>
        <v/>
      </c>
      <c r="AP41" t="str">
        <f>IF($B41=717,SUM($G41-(SUM($H41:$I41))),"")</f>
        <v/>
      </c>
      <c r="AQ41" t="str">
        <f>IF($B41=722,SUM($G41-(SUM($H41:$I41))),"")</f>
        <v/>
      </c>
      <c r="AR41" t="str">
        <f>IF($B41=708,SUM($G41-(SUM($H41:$I41))),"")</f>
        <v/>
      </c>
      <c r="AS41" t="str">
        <f>IF($B41=701,SUM($G41-(SUM($H41:$I41))),"")</f>
        <v/>
      </c>
      <c r="AT41" t="str">
        <f>IF($B41=702,SUM($G41-(SUM($H41:$I41))),"")</f>
        <v/>
      </c>
      <c r="AU41" t="str">
        <f>IF($B41=731,SUM($G41-(SUM($H41:$I41))),"")</f>
        <v/>
      </c>
      <c r="AV41" t="str">
        <f>IF($B41=730,SUM($G41-(SUM($H41:$I41))),"")</f>
        <v/>
      </c>
    </row>
    <row r="42">
      <c r="B42" t="n" s="0">
        <v>733.0</v>
      </c>
      <c r="C42" t="s">
        <v>83</v>
      </c>
      <c r="D42" t="n">
        <f>D41+G42</f>
        <v>0.0</v>
      </c>
      <c r="F42" t="n">
        <f>SUM(H42:AV42)-G42</f>
        <v>0.0</v>
      </c>
      <c r="G42" s="2" t="n">
        <v>0.0</v>
      </c>
      <c r="H42" t="str">
        <f>IF(G42/23*3&gt;0,SUM(G42/23*3),"")</f>
        <v/>
      </c>
      <c r="I42" t="str">
        <f>IF(G42/23*3&lt;0,SUM(G42/23*3),"")</f>
        <v/>
      </c>
      <c r="J42" t="str">
        <f>IF($B42=707,SUM($G42-(SUM($H42:$I42))),"")</f>
        <v/>
      </c>
      <c r="K42" t="str">
        <f>IF($B42=706,SUM($G42-(SUM($H42:$I42))),"")</f>
        <v/>
      </c>
      <c r="L42" t="str">
        <f>IF($B42=703,SUM($G42-(SUM($H42:$I42))),"")</f>
        <v/>
      </c>
      <c r="M42" t="str">
        <f>IF($B42=704,SUM($G42-(SUM($H42:$I42))),"")</f>
        <v/>
      </c>
      <c r="N42" t="str">
        <f>IF($B42=709,SUM($G42-(SUM($H42:$I42))),"")</f>
        <v/>
      </c>
      <c r="O42" t="str">
        <f>IF($B42=738,SUM($G42-(SUM($H42:$I42))),"")</f>
        <v/>
      </c>
      <c r="P42" t="str">
        <f>IF($B42=739,SUM($G42-(SUM($H42:$I42))),"")</f>
        <v/>
      </c>
      <c r="Q42" t="str">
        <f>IF($B42=714,SUM($G42-(SUM($H42:$I42))),"")</f>
        <v/>
      </c>
      <c r="R42" t="str">
        <f>IF($B42=710,SUM($G42-(SUM($H42:$I42))),"")</f>
        <v/>
      </c>
      <c r="S42" t="str">
        <f>IF($B42=711,SUM($G42-(SUM($H42:$I42))),"")</f>
        <v/>
      </c>
      <c r="T42" t="str">
        <f>IF($B42=712,SUM($G42-(SUM($H42:$I42))),"")</f>
        <v/>
      </c>
      <c r="U42" t="str">
        <f>IF($B42=713,SUM($G42-(SUM($H42:$I42))),"")</f>
        <v/>
      </c>
      <c r="V42" t="str">
        <f>IF($B42=715,SUM($G42-(SUM($H42:$I42))),"")</f>
        <v/>
      </c>
      <c r="W42" t="str">
        <f>IF($B42=724,SUM($G42-(SUM($H42:$I42))),"")</f>
        <v/>
      </c>
      <c r="X42" t="str">
        <f>IF($B42=725,SUM($G42-(SUM($H42:$I42))),"")</f>
        <v/>
      </c>
      <c r="Y42" t="str">
        <f>IF($B42=726,SUM($G42-(SUM($H42:$I42))),"")</f>
        <v/>
      </c>
      <c r="Z42" t="str">
        <f>IF($B42=727,SUM($G42-(SUM($H42:$I42))),"")</f>
        <v/>
      </c>
      <c r="AA42" t="str">
        <f>IF($B42=728,SUM($G42-(SUM($H42:$I42))),"")</f>
        <v/>
      </c>
      <c r="AB42" t="str">
        <f>IF($B42=729,SUM($G42-(SUM($H42:$I42))),"")</f>
        <v/>
      </c>
      <c r="AC42" t="str">
        <f>IF($B42=730,SUM($G42-(SUM($H42:$I42))),"")</f>
        <v/>
      </c>
      <c r="AD42" t="str">
        <f>IF($B42=732,SUM($G42-(SUM($H42:$I42))),"")</f>
        <v/>
      </c>
      <c r="AE42" t="n">
        <f>IF($B42=733,SUM($G42-(SUM($H42:$I42))),"")</f>
        <v>0.0</v>
      </c>
      <c r="AF42" t="str">
        <f>IF($B42=734,SUM($G42-(SUM($H42:$I42))),"")</f>
        <v/>
      </c>
      <c r="AG42" t="str">
        <f>IF($B42=705,SUM($G42-(SUM($H42:$I42))),"")</f>
        <v/>
      </c>
      <c r="AH42" t="str">
        <f>IF($B42=735,SUM($G42-(SUM($H42:$I42))),"")</f>
        <v/>
      </c>
      <c r="AI42" t="str">
        <f>IF($B42=736,SUM($G42-(SUM($H42:$I42))),"")</f>
        <v/>
      </c>
      <c r="AJ42" t="str">
        <f>IF($B42=737,SUM($G42-(SUM($H42:$I42))),"")</f>
        <v/>
      </c>
      <c r="AK42" t="str">
        <f>IF($B42=725,SUM($G42-(SUM($H42:$I42))),"")</f>
        <v/>
      </c>
      <c r="AL42" t="str">
        <f>IF($B42=735,SUM($G42-(SUM($H42:$I42))),"")</f>
        <v/>
      </c>
      <c r="AM42" t="str">
        <f>IF($B42=727,SUM($G42-(SUM($H42:$I42))),"")</f>
        <v/>
      </c>
      <c r="AN42" t="str">
        <f>IF($B42=718,SUM($G42-(SUM($H42:$I42))),"")</f>
        <v/>
      </c>
      <c r="AO42" t="str">
        <f>IF($B42=719,SUM($G42-(SUM($H42:$I42))),"")</f>
        <v/>
      </c>
      <c r="AP42" t="str">
        <f>IF($B42=717,SUM($G42-(SUM($H42:$I42))),"")</f>
        <v/>
      </c>
      <c r="AQ42" t="str">
        <f>IF($B42=722,SUM($G42-(SUM($H42:$I42))),"")</f>
        <v/>
      </c>
      <c r="AR42" t="str">
        <f>IF($B42=708,SUM($G42-(SUM($H42:$I42))),"")</f>
        <v/>
      </c>
      <c r="AS42" t="str">
        <f>IF($B42=701,SUM($G42-(SUM($H42:$I42))),"")</f>
        <v/>
      </c>
      <c r="AT42" t="str">
        <f>IF($B42=702,SUM($G42-(SUM($H42:$I42))),"")</f>
        <v/>
      </c>
      <c r="AU42" t="str">
        <f>IF($B42=731,SUM($G42-(SUM($H42:$I42))),"")</f>
        <v/>
      </c>
      <c r="AV42" t="str">
        <f>IF($B42=730,SUM($G42-(SUM($H42:$I42))),"")</f>
        <v/>
      </c>
    </row>
    <row r="43">
      <c r="B43" t="n" s="0">
        <v>727.0</v>
      </c>
      <c r="C43" t="s">
        <v>79</v>
      </c>
      <c r="D43" t="n">
        <f>D42+G43</f>
        <v>0.0</v>
      </c>
      <c r="F43" t="n">
        <f>SUM(H43:AV43)-G43</f>
        <v>0.0</v>
      </c>
      <c r="G43" s="2" t="n">
        <v>0.0</v>
      </c>
      <c r="H43" t="str">
        <f>IF(G43/23*3&gt;0,SUM(G43/23*3),"")</f>
        <v/>
      </c>
      <c r="I43" t="str">
        <f>IF(G43/23*3&lt;0,SUM(G43/23*3),"")</f>
        <v/>
      </c>
      <c r="J43" t="str">
        <f>IF($B43=707,SUM($G43-(SUM($H43:$I43))),"")</f>
        <v/>
      </c>
      <c r="K43" t="str">
        <f>IF($B43=706,SUM($G43-(SUM($H43:$I43))),"")</f>
        <v/>
      </c>
      <c r="L43" t="str">
        <f>IF($B43=703,SUM($G43-(SUM($H43:$I43))),"")</f>
        <v/>
      </c>
      <c r="M43" t="str">
        <f>IF($B43=704,SUM($G43-(SUM($H43:$I43))),"")</f>
        <v/>
      </c>
      <c r="N43" t="str">
        <f>IF($B43=709,SUM($G43-(SUM($H43:$I43))),"")</f>
        <v/>
      </c>
      <c r="O43" t="str">
        <f>IF($B43=738,SUM($G43-(SUM($H43:$I43))),"")</f>
        <v/>
      </c>
      <c r="P43" t="str">
        <f>IF($B43=739,SUM($G43-(SUM($H43:$I43))),"")</f>
        <v/>
      </c>
      <c r="Q43" t="str">
        <f>IF($B43=714,SUM($G43-(SUM($H43:$I43))),"")</f>
        <v/>
      </c>
      <c r="R43" t="str">
        <f>IF($B43=710,SUM($G43-(SUM($H43:$I43))),"")</f>
        <v/>
      </c>
      <c r="S43" t="str">
        <f>IF($B43=711,SUM($G43-(SUM($H43:$I43))),"")</f>
        <v/>
      </c>
      <c r="T43" t="str">
        <f>IF($B43=712,SUM($G43-(SUM($H43:$I43))),"")</f>
        <v/>
      </c>
      <c r="U43" t="str">
        <f>IF($B43=713,SUM($G43-(SUM($H43:$I43))),"")</f>
        <v/>
      </c>
      <c r="V43" t="str">
        <f>IF($B43=715,SUM($G43-(SUM($H43:$I43))),"")</f>
        <v/>
      </c>
      <c r="W43" t="str">
        <f>IF($B43=724,SUM($G43-(SUM($H43:$I43))),"")</f>
        <v/>
      </c>
      <c r="X43" t="str">
        <f>IF($B43=725,SUM($G43-(SUM($H43:$I43))),"")</f>
        <v/>
      </c>
      <c r="Y43" t="str">
        <f>IF($B43=726,SUM($G43-(SUM($H43:$I43))),"")</f>
        <v/>
      </c>
      <c r="Z43" t="n">
        <f>IF($B43=727,SUM($G43-(SUM($H43:$I43))),"")</f>
        <v>0.0</v>
      </c>
      <c r="AA43" t="str">
        <f>IF($B43=728,SUM($G43-(SUM($H43:$I43))),"")</f>
        <v/>
      </c>
      <c r="AB43" t="str">
        <f>IF($B43=729,SUM($G43-(SUM($H43:$I43))),"")</f>
        <v/>
      </c>
      <c r="AC43" t="str">
        <f>IF($B43=730,SUM($G43-(SUM($H43:$I43))),"")</f>
        <v/>
      </c>
      <c r="AD43" t="str">
        <f>IF($B43=732,SUM($G43-(SUM($H43:$I43))),"")</f>
        <v/>
      </c>
      <c r="AE43" t="str">
        <f>IF($B43=733,SUM($G43-(SUM($H43:$I43))),"")</f>
        <v/>
      </c>
      <c r="AF43" t="str">
        <f>IF($B43=734,SUM($G43-(SUM($H43:$I43))),"")</f>
        <v/>
      </c>
      <c r="AG43" t="str">
        <f>IF($B43=705,SUM($G43-(SUM($H43:$I43))),"")</f>
        <v/>
      </c>
      <c r="AH43" t="str">
        <f>IF($B43=735,SUM($G43-(SUM($H43:$I43))),"")</f>
        <v/>
      </c>
      <c r="AI43" t="str">
        <f>IF($B43=736,SUM($G43-(SUM($H43:$I43))),"")</f>
        <v/>
      </c>
      <c r="AJ43" t="str">
        <f>IF($B43=737,SUM($G43-(SUM($H43:$I43))),"")</f>
        <v/>
      </c>
      <c r="AK43" t="str">
        <f>IF($B43=725,SUM($G43-(SUM($H43:$I43))),"")</f>
        <v/>
      </c>
      <c r="AL43" t="str">
        <f>IF($B43=735,SUM($G43-(SUM($H43:$I43))),"")</f>
        <v/>
      </c>
      <c r="AM43" t="n">
        <f>IF($B43=727,SUM($G43-(SUM($H43:$I43))),"")</f>
        <v>0.0</v>
      </c>
      <c r="AN43" t="str">
        <f>IF($B43=718,SUM($G43-(SUM($H43:$I43))),"")</f>
        <v/>
      </c>
      <c r="AO43" t="str">
        <f>IF($B43=719,SUM($G43-(SUM($H43:$I43))),"")</f>
        <v/>
      </c>
      <c r="AP43" t="str">
        <f>IF($B43=717,SUM($G43-(SUM($H43:$I43))),"")</f>
        <v/>
      </c>
      <c r="AQ43" t="str">
        <f>IF($B43=722,SUM($G43-(SUM($H43:$I43))),"")</f>
        <v/>
      </c>
      <c r="AR43" t="str">
        <f>IF($B43=708,SUM($G43-(SUM($H43:$I43))),"")</f>
        <v/>
      </c>
      <c r="AS43" t="str">
        <f>IF($B43=701,SUM($G43-(SUM($H43:$I43))),"")</f>
        <v/>
      </c>
      <c r="AT43" t="str">
        <f>IF($B43=702,SUM($G43-(SUM($H43:$I43))),"")</f>
        <v/>
      </c>
      <c r="AU43" t="str">
        <f>IF($B43=731,SUM($G43-(SUM($H43:$I43))),"")</f>
        <v/>
      </c>
      <c r="AV43" t="str">
        <f>IF($B43=730,SUM($G43-(SUM($H43:$I43))),"")</f>
        <v/>
      </c>
    </row>
    <row r="44">
      <c r="B44" t="n" s="0">
        <v>728.0</v>
      </c>
      <c r="C44" t="s">
        <v>80</v>
      </c>
      <c r="D44" t="n">
        <f>D43+G44</f>
        <v>0.0</v>
      </c>
      <c r="F44" t="n">
        <f>SUM(H44:AV44)-G44</f>
        <v>0.0</v>
      </c>
      <c r="G44" s="2" t="n">
        <v>0.0</v>
      </c>
      <c r="H44" t="str">
        <f>IF(G44/23*3&gt;0,SUM(G44/23*3),"")</f>
        <v/>
      </c>
      <c r="I44" t="str">
        <f>IF(G44/23*3&lt;0,SUM(G44/23*3),"")</f>
        <v/>
      </c>
      <c r="J44" t="str">
        <f>IF($B44=707,SUM($G44-(SUM($H44:$I44))),"")</f>
        <v/>
      </c>
      <c r="K44" t="str">
        <f>IF($B44=706,SUM($G44-(SUM($H44:$I44))),"")</f>
        <v/>
      </c>
      <c r="L44" t="str">
        <f>IF($B44=703,SUM($G44-(SUM($H44:$I44))),"")</f>
        <v/>
      </c>
      <c r="M44" t="str">
        <f>IF($B44=704,SUM($G44-(SUM($H44:$I44))),"")</f>
        <v/>
      </c>
      <c r="N44" t="str">
        <f>IF($B44=709,SUM($G44-(SUM($H44:$I44))),"")</f>
        <v/>
      </c>
      <c r="O44" t="str">
        <f>IF($B44=738,SUM($G44-(SUM($H44:$I44))),"")</f>
        <v/>
      </c>
      <c r="P44" t="str">
        <f>IF($B44=739,SUM($G44-(SUM($H44:$I44))),"")</f>
        <v/>
      </c>
      <c r="Q44" t="str">
        <f>IF($B44=714,SUM($G44-(SUM($H44:$I44))),"")</f>
        <v/>
      </c>
      <c r="R44" t="str">
        <f>IF($B44=710,SUM($G44-(SUM($H44:$I44))),"")</f>
        <v/>
      </c>
      <c r="S44" t="str">
        <f>IF($B44=711,SUM($G44-(SUM($H44:$I44))),"")</f>
        <v/>
      </c>
      <c r="T44" t="str">
        <f>IF($B44=712,SUM($G44-(SUM($H44:$I44))),"")</f>
        <v/>
      </c>
      <c r="U44" t="str">
        <f>IF($B44=713,SUM($G44-(SUM($H44:$I44))),"")</f>
        <v/>
      </c>
      <c r="V44" t="str">
        <f>IF($B44=715,SUM($G44-(SUM($H44:$I44))),"")</f>
        <v/>
      </c>
      <c r="W44" t="str">
        <f>IF($B44=724,SUM($G44-(SUM($H44:$I44))),"")</f>
        <v/>
      </c>
      <c r="X44" t="str">
        <f>IF($B44=725,SUM($G44-(SUM($H44:$I44))),"")</f>
        <v/>
      </c>
      <c r="Y44" t="str">
        <f>IF($B44=726,SUM($G44-(SUM($H44:$I44))),"")</f>
        <v/>
      </c>
      <c r="Z44" t="str">
        <f>IF($B44=727,SUM($G44-(SUM($H44:$I44))),"")</f>
        <v/>
      </c>
      <c r="AA44" t="n">
        <f>IF($B44=728,SUM($G44-(SUM($H44:$I44))),"")</f>
        <v>0.0</v>
      </c>
      <c r="AB44" t="str">
        <f>IF($B44=729,SUM($G44-(SUM($H44:$I44))),"")</f>
        <v/>
      </c>
      <c r="AC44" t="str">
        <f>IF($B44=730,SUM($G44-(SUM($H44:$I44))),"")</f>
        <v/>
      </c>
      <c r="AD44" t="str">
        <f>IF($B44=732,SUM($G44-(SUM($H44:$I44))),"")</f>
        <v/>
      </c>
      <c r="AE44" t="str">
        <f>IF($B44=733,SUM($G44-(SUM($H44:$I44))),"")</f>
        <v/>
      </c>
      <c r="AF44" t="str">
        <f>IF($B44=734,SUM($G44-(SUM($H44:$I44))),"")</f>
        <v/>
      </c>
      <c r="AG44" t="str">
        <f>IF($B44=705,SUM($G44-(SUM($H44:$I44))),"")</f>
        <v/>
      </c>
      <c r="AH44" t="str">
        <f>IF($B44=735,SUM($G44-(SUM($H44:$I44))),"")</f>
        <v/>
      </c>
      <c r="AI44" t="str">
        <f>IF($B44=736,SUM($G44-(SUM($H44:$I44))),"")</f>
        <v/>
      </c>
      <c r="AJ44" t="str">
        <f>IF($B44=737,SUM($G44-(SUM($H44:$I44))),"")</f>
        <v/>
      </c>
      <c r="AK44" t="str">
        <f>IF($B44=725,SUM($G44-(SUM($H44:$I44))),"")</f>
        <v/>
      </c>
      <c r="AL44" t="str">
        <f>IF($B44=735,SUM($G44-(SUM($H44:$I44))),"")</f>
        <v/>
      </c>
      <c r="AM44" t="str">
        <f>IF($B44=727,SUM($G44-(SUM($H44:$I44))),"")</f>
        <v/>
      </c>
      <c r="AN44" t="str">
        <f>IF($B44=718,SUM($G44-(SUM($H44:$I44))),"")</f>
        <v/>
      </c>
      <c r="AO44" t="str">
        <f>IF($B44=719,SUM($G44-(SUM($H44:$I44))),"")</f>
        <v/>
      </c>
      <c r="AP44" t="str">
        <f>IF($B44=717,SUM($G44-(SUM($H44:$I44))),"")</f>
        <v/>
      </c>
      <c r="AQ44" t="str">
        <f>IF($B44=722,SUM($G44-(SUM($H44:$I44))),"")</f>
        <v/>
      </c>
      <c r="AR44" t="str">
        <f>IF($B44=708,SUM($G44-(SUM($H44:$I44))),"")</f>
        <v/>
      </c>
      <c r="AS44" t="str">
        <f>IF($B44=701,SUM($G44-(SUM($H44:$I44))),"")</f>
        <v/>
      </c>
      <c r="AT44" t="str">
        <f>IF($B44=702,SUM($G44-(SUM($H44:$I44))),"")</f>
        <v/>
      </c>
      <c r="AU44" t="str">
        <f>IF($B44=731,SUM($G44-(SUM($H44:$I44))),"")</f>
        <v/>
      </c>
      <c r="AV44" t="str">
        <f>IF($B44=730,SUM($G44-(SUM($H44:$I44))),"")</f>
        <v/>
      </c>
    </row>
    <row r="45">
      <c r="B45" t="n" s="0">
        <v>729.0</v>
      </c>
      <c r="C45" t="s">
        <v>81</v>
      </c>
      <c r="D45" t="n">
        <f>D44+G45</f>
        <v>0.0</v>
      </c>
      <c r="F45" t="n">
        <f>SUM(H45:AV45)-G45</f>
        <v>0.0</v>
      </c>
      <c r="G45" s="2" t="n">
        <v>0.0</v>
      </c>
      <c r="H45" t="str">
        <f>IF(G45/23*3&gt;0,SUM(G45/23*3),"")</f>
        <v/>
      </c>
      <c r="I45" t="str">
        <f>IF(G45/23*3&lt;0,SUM(G45/23*3),"")</f>
        <v/>
      </c>
      <c r="J45" t="str">
        <f>IF($B45=707,SUM($G45-(SUM($H45:$I45))),"")</f>
        <v/>
      </c>
      <c r="K45" t="str">
        <f>IF($B45=706,SUM($G45-(SUM($H45:$I45))),"")</f>
        <v/>
      </c>
      <c r="L45" t="str">
        <f>IF($B45=703,SUM($G45-(SUM($H45:$I45))),"")</f>
        <v/>
      </c>
      <c r="M45" t="str">
        <f>IF($B45=704,SUM($G45-(SUM($H45:$I45))),"")</f>
        <v/>
      </c>
      <c r="N45" t="str">
        <f>IF($B45=709,SUM($G45-(SUM($H45:$I45))),"")</f>
        <v/>
      </c>
      <c r="O45" t="str">
        <f>IF($B45=738,SUM($G45-(SUM($H45:$I45))),"")</f>
        <v/>
      </c>
      <c r="P45" t="str">
        <f>IF($B45=739,SUM($G45-(SUM($H45:$I45))),"")</f>
        <v/>
      </c>
      <c r="Q45" t="str">
        <f>IF($B45=714,SUM($G45-(SUM($H45:$I45))),"")</f>
        <v/>
      </c>
      <c r="R45" t="str">
        <f>IF($B45=710,SUM($G45-(SUM($H45:$I45))),"")</f>
        <v/>
      </c>
      <c r="S45" t="str">
        <f>IF($B45=711,SUM($G45-(SUM($H45:$I45))),"")</f>
        <v/>
      </c>
      <c r="T45" t="str">
        <f>IF($B45=712,SUM($G45-(SUM($H45:$I45))),"")</f>
        <v/>
      </c>
      <c r="U45" t="str">
        <f>IF($B45=713,SUM($G45-(SUM($H45:$I45))),"")</f>
        <v/>
      </c>
      <c r="V45" t="str">
        <f>IF($B45=715,SUM($G45-(SUM($H45:$I45))),"")</f>
        <v/>
      </c>
      <c r="W45" t="str">
        <f>IF($B45=724,SUM($G45-(SUM($H45:$I45))),"")</f>
        <v/>
      </c>
      <c r="X45" t="str">
        <f>IF($B45=725,SUM($G45-(SUM($H45:$I45))),"")</f>
        <v/>
      </c>
      <c r="Y45" t="str">
        <f>IF($B45=726,SUM($G45-(SUM($H45:$I45))),"")</f>
        <v/>
      </c>
      <c r="Z45" t="str">
        <f>IF($B45=727,SUM($G45-(SUM($H45:$I45))),"")</f>
        <v/>
      </c>
      <c r="AA45" t="str">
        <f>IF($B45=728,SUM($G45-(SUM($H45:$I45))),"")</f>
        <v/>
      </c>
      <c r="AB45" t="n">
        <f>IF($B45=729,SUM($G45-(SUM($H45:$I45))),"")</f>
        <v>0.0</v>
      </c>
      <c r="AC45" t="str">
        <f>IF($B45=730,SUM($G45-(SUM($H45:$I45))),"")</f>
        <v/>
      </c>
      <c r="AD45" t="str">
        <f>IF($B45=732,SUM($G45-(SUM($H45:$I45))),"")</f>
        <v/>
      </c>
      <c r="AE45" t="str">
        <f>IF($B45=733,SUM($G45-(SUM($H45:$I45))),"")</f>
        <v/>
      </c>
      <c r="AF45" t="str">
        <f>IF($B45=734,SUM($G45-(SUM($H45:$I45))),"")</f>
        <v/>
      </c>
      <c r="AG45" t="str">
        <f>IF($B45=705,SUM($G45-(SUM($H45:$I45))),"")</f>
        <v/>
      </c>
      <c r="AH45" t="str">
        <f>IF($B45=735,SUM($G45-(SUM($H45:$I45))),"")</f>
        <v/>
      </c>
      <c r="AI45" t="str">
        <f>IF($B45=736,SUM($G45-(SUM($H45:$I45))),"")</f>
        <v/>
      </c>
      <c r="AJ45" t="str">
        <f>IF($B45=737,SUM($G45-(SUM($H45:$I45))),"")</f>
        <v/>
      </c>
      <c r="AK45" t="str">
        <f>IF($B45=725,SUM($G45-(SUM($H45:$I45))),"")</f>
        <v/>
      </c>
      <c r="AL45" t="str">
        <f>IF($B45=735,SUM($G45-(SUM($H45:$I45))),"")</f>
        <v/>
      </c>
      <c r="AM45" t="str">
        <f>IF($B45=727,SUM($G45-(SUM($H45:$I45))),"")</f>
        <v/>
      </c>
      <c r="AN45" t="str">
        <f>IF($B45=718,SUM($G45-(SUM($H45:$I45))),"")</f>
        <v/>
      </c>
      <c r="AO45" t="str">
        <f>IF($B45=719,SUM($G45-(SUM($H45:$I45))),"")</f>
        <v/>
      </c>
      <c r="AP45" t="str">
        <f>IF($B45=717,SUM($G45-(SUM($H45:$I45))),"")</f>
        <v/>
      </c>
      <c r="AQ45" t="str">
        <f>IF($B45=722,SUM($G45-(SUM($H45:$I45))),"")</f>
        <v/>
      </c>
      <c r="AR45" t="str">
        <f>IF($B45=708,SUM($G45-(SUM($H45:$I45))),"")</f>
        <v/>
      </c>
      <c r="AS45" t="str">
        <f>IF($B45=701,SUM($G45-(SUM($H45:$I45))),"")</f>
        <v/>
      </c>
      <c r="AT45" t="str">
        <f>IF($B45=702,SUM($G45-(SUM($H45:$I45))),"")</f>
        <v/>
      </c>
      <c r="AU45" t="str">
        <f>IF($B45=731,SUM($G45-(SUM($H45:$I45))),"")</f>
        <v/>
      </c>
      <c r="AV45" t="str">
        <f>IF($B45=730,SUM($G45-(SUM($H45:$I45))),"")</f>
        <v/>
      </c>
    </row>
    <row r="46">
      <c r="B46" t="n" s="0">
        <v>734.0</v>
      </c>
      <c r="C46" t="s">
        <v>75</v>
      </c>
      <c r="D46" t="n">
        <f>D45+G46</f>
        <v>0.0</v>
      </c>
      <c r="F46" t="n">
        <f>SUM(H46:AV46)-G46</f>
        <v>0.0</v>
      </c>
      <c r="G46" s="2" t="n">
        <v>0.0</v>
      </c>
      <c r="H46" t="str">
        <f>IF(G46/23*3&gt;0,SUM(G46/23*3),"")</f>
        <v/>
      </c>
      <c r="I46" t="str">
        <f>IF(G46/23*3&lt;0,SUM(G46/23*3),"")</f>
        <v/>
      </c>
      <c r="J46" t="str">
        <f>IF($B46=707,SUM($G46-(SUM($H46:$I46))),"")</f>
        <v/>
      </c>
      <c r="K46" t="str">
        <f>IF($B46=706,SUM($G46-(SUM($H46:$I46))),"")</f>
        <v/>
      </c>
      <c r="L46" t="str">
        <f>IF($B46=703,SUM($G46-(SUM($H46:$I46))),"")</f>
        <v/>
      </c>
      <c r="M46" t="str">
        <f>IF($B46=704,SUM($G46-(SUM($H46:$I46))),"")</f>
        <v/>
      </c>
      <c r="N46" t="str">
        <f>IF($B46=709,SUM($G46-(SUM($H46:$I46))),"")</f>
        <v/>
      </c>
      <c r="O46" t="str">
        <f>IF($B46=738,SUM($G46-(SUM($H46:$I46))),"")</f>
        <v/>
      </c>
      <c r="P46" t="str">
        <f>IF($B46=739,SUM($G46-(SUM($H46:$I46))),"")</f>
        <v/>
      </c>
      <c r="Q46" t="str">
        <f>IF($B46=714,SUM($G46-(SUM($H46:$I46))),"")</f>
        <v/>
      </c>
      <c r="R46" t="str">
        <f>IF($B46=710,SUM($G46-(SUM($H46:$I46))),"")</f>
        <v/>
      </c>
      <c r="S46" t="str">
        <f>IF($B46=711,SUM($G46-(SUM($H46:$I46))),"")</f>
        <v/>
      </c>
      <c r="T46" t="str">
        <f>IF($B46=712,SUM($G46-(SUM($H46:$I46))),"")</f>
        <v/>
      </c>
      <c r="U46" t="str">
        <f>IF($B46=713,SUM($G46-(SUM($H46:$I46))),"")</f>
        <v/>
      </c>
      <c r="V46" t="str">
        <f>IF($B46=715,SUM($G46-(SUM($H46:$I46))),"")</f>
        <v/>
      </c>
      <c r="W46" t="str">
        <f>IF($B46=724,SUM($G46-(SUM($H46:$I46))),"")</f>
        <v/>
      </c>
      <c r="X46" t="str">
        <f>IF($B46=725,SUM($G46-(SUM($H46:$I46))),"")</f>
        <v/>
      </c>
      <c r="Y46" t="str">
        <f>IF($B46=726,SUM($G46-(SUM($H46:$I46))),"")</f>
        <v/>
      </c>
      <c r="Z46" t="str">
        <f>IF($B46=727,SUM($G46-(SUM($H46:$I46))),"")</f>
        <v/>
      </c>
      <c r="AA46" t="str">
        <f>IF($B46=728,SUM($G46-(SUM($H46:$I46))),"")</f>
        <v/>
      </c>
      <c r="AB46" t="str">
        <f>IF($B46=729,SUM($G46-(SUM($H46:$I46))),"")</f>
        <v/>
      </c>
      <c r="AC46" t="str">
        <f>IF($B46=730,SUM($G46-(SUM($H46:$I46))),"")</f>
        <v/>
      </c>
      <c r="AD46" t="str">
        <f>IF($B46=732,SUM($G46-(SUM($H46:$I46))),"")</f>
        <v/>
      </c>
      <c r="AE46" t="str">
        <f>IF($B46=733,SUM($G46-(SUM($H46:$I46))),"")</f>
        <v/>
      </c>
      <c r="AF46" t="n">
        <f>IF($B46=734,SUM($G46-(SUM($H46:$I46))),"")</f>
        <v>0.0</v>
      </c>
      <c r="AG46" t="str">
        <f>IF($B46=705,SUM($G46-(SUM($H46:$I46))),"")</f>
        <v/>
      </c>
      <c r="AH46" t="str">
        <f>IF($B46=735,SUM($G46-(SUM($H46:$I46))),"")</f>
        <v/>
      </c>
      <c r="AI46" t="str">
        <f>IF($B46=736,SUM($G46-(SUM($H46:$I46))),"")</f>
        <v/>
      </c>
      <c r="AJ46" t="str">
        <f>IF($B46=737,SUM($G46-(SUM($H46:$I46))),"")</f>
        <v/>
      </c>
      <c r="AK46" t="str">
        <f>IF($B46=725,SUM($G46-(SUM($H46:$I46))),"")</f>
        <v/>
      </c>
      <c r="AL46" t="str">
        <f>IF($B46=735,SUM($G46-(SUM($H46:$I46))),"")</f>
        <v/>
      </c>
      <c r="AM46" t="str">
        <f>IF($B46=727,SUM($G46-(SUM($H46:$I46))),"")</f>
        <v/>
      </c>
      <c r="AN46" t="str">
        <f>IF($B46=718,SUM($G46-(SUM($H46:$I46))),"")</f>
        <v/>
      </c>
      <c r="AO46" t="str">
        <f>IF($B46=719,SUM($G46-(SUM($H46:$I46))),"")</f>
        <v/>
      </c>
      <c r="AP46" t="str">
        <f>IF($B46=717,SUM($G46-(SUM($H46:$I46))),"")</f>
        <v/>
      </c>
      <c r="AQ46" t="str">
        <f>IF($B46=722,SUM($G46-(SUM($H46:$I46))),"")</f>
        <v/>
      </c>
      <c r="AR46" t="str">
        <f>IF($B46=708,SUM($G46-(SUM($H46:$I46))),"")</f>
        <v/>
      </c>
      <c r="AS46" t="str">
        <f>IF($B46=701,SUM($G46-(SUM($H46:$I46))),"")</f>
        <v/>
      </c>
      <c r="AT46" t="str">
        <f>IF($B46=702,SUM($G46-(SUM($H46:$I46))),"")</f>
        <v/>
      </c>
      <c r="AU46" t="str">
        <f>IF($B46=731,SUM($G46-(SUM($H46:$I46))),"")</f>
        <v/>
      </c>
      <c r="AV46" t="str">
        <f>IF($B46=730,SUM($G46-(SUM($H46:$I46))),"")</f>
        <v/>
      </c>
    </row>
    <row r="47">
      <c r="B47" t="n" s="0">
        <v>734.0</v>
      </c>
      <c r="C47" t="s">
        <v>75</v>
      </c>
      <c r="D47" t="n">
        <f>D46+G47</f>
        <v>0.0</v>
      </c>
      <c r="F47" t="n">
        <f>SUM(H47:AV47)-G47</f>
        <v>0.0</v>
      </c>
      <c r="G47" s="2" t="n">
        <v>0.0</v>
      </c>
      <c r="H47" t="str">
        <f>IF(G47/23*3&gt;0,SUM(G47/23*3),"")</f>
        <v/>
      </c>
      <c r="I47" t="str">
        <f>IF(G47/23*3&lt;0,SUM(G47/23*3),"")</f>
        <v/>
      </c>
      <c r="J47" t="str">
        <f>IF($B47=707,SUM($G47-(SUM($H47:$I47))),"")</f>
        <v/>
      </c>
      <c r="K47" t="str">
        <f>IF($B47=706,SUM($G47-(SUM($H47:$I47))),"")</f>
        <v/>
      </c>
      <c r="L47" t="str">
        <f>IF($B47=703,SUM($G47-(SUM($H47:$I47))),"")</f>
        <v/>
      </c>
      <c r="M47" t="str">
        <f>IF($B47=704,SUM($G47-(SUM($H47:$I47))),"")</f>
        <v/>
      </c>
      <c r="N47" t="str">
        <f>IF($B47=709,SUM($G47-(SUM($H47:$I47))),"")</f>
        <v/>
      </c>
      <c r="O47" t="str">
        <f>IF($B47=738,SUM($G47-(SUM($H47:$I47))),"")</f>
        <v/>
      </c>
      <c r="P47" t="str">
        <f>IF($B47=739,SUM($G47-(SUM($H47:$I47))),"")</f>
        <v/>
      </c>
      <c r="Q47" t="str">
        <f>IF($B47=714,SUM($G47-(SUM($H47:$I47))),"")</f>
        <v/>
      </c>
      <c r="R47" t="str">
        <f>IF($B47=710,SUM($G47-(SUM($H47:$I47))),"")</f>
        <v/>
      </c>
      <c r="S47" t="str">
        <f>IF($B47=711,SUM($G47-(SUM($H47:$I47))),"")</f>
        <v/>
      </c>
      <c r="T47" t="str">
        <f>IF($B47=712,SUM($G47-(SUM($H47:$I47))),"")</f>
        <v/>
      </c>
      <c r="U47" t="str">
        <f>IF($B47=713,SUM($G47-(SUM($H47:$I47))),"")</f>
        <v/>
      </c>
      <c r="V47" t="str">
        <f>IF($B47=715,SUM($G47-(SUM($H47:$I47))),"")</f>
        <v/>
      </c>
      <c r="W47" t="str">
        <f>IF($B47=724,SUM($G47-(SUM($H47:$I47))),"")</f>
        <v/>
      </c>
      <c r="X47" t="str">
        <f>IF($B47=725,SUM($G47-(SUM($H47:$I47))),"")</f>
        <v/>
      </c>
      <c r="Y47" t="str">
        <f>IF($B47=726,SUM($G47-(SUM($H47:$I47))),"")</f>
        <v/>
      </c>
      <c r="Z47" t="str">
        <f>IF($B47=727,SUM($G47-(SUM($H47:$I47))),"")</f>
        <v/>
      </c>
      <c r="AA47" t="str">
        <f>IF($B47=728,SUM($G47-(SUM($H47:$I47))),"")</f>
        <v/>
      </c>
      <c r="AB47" t="str">
        <f>IF($B47=729,SUM($G47-(SUM($H47:$I47))),"")</f>
        <v/>
      </c>
      <c r="AC47" t="str">
        <f>IF($B47=730,SUM($G47-(SUM($H47:$I47))),"")</f>
        <v/>
      </c>
      <c r="AD47" t="str">
        <f>IF($B47=732,SUM($G47-(SUM($H47:$I47))),"")</f>
        <v/>
      </c>
      <c r="AE47" t="str">
        <f>IF($B47=733,SUM($G47-(SUM($H47:$I47))),"")</f>
        <v/>
      </c>
      <c r="AF47" t="n">
        <f>IF($B47=734,SUM($G47-(SUM($H47:$I47))),"")</f>
        <v>0.0</v>
      </c>
      <c r="AG47" t="str">
        <f>IF($B47=705,SUM($G47-(SUM($H47:$I47))),"")</f>
        <v/>
      </c>
      <c r="AH47" t="str">
        <f>IF($B47=735,SUM($G47-(SUM($H47:$I47))),"")</f>
        <v/>
      </c>
      <c r="AI47" t="str">
        <f>IF($B47=736,SUM($G47-(SUM($H47:$I47))),"")</f>
        <v/>
      </c>
      <c r="AJ47" t="str">
        <f>IF($B47=737,SUM($G47-(SUM($H47:$I47))),"")</f>
        <v/>
      </c>
      <c r="AK47" t="str">
        <f>IF($B47=725,SUM($G47-(SUM($H47:$I47))),"")</f>
        <v/>
      </c>
      <c r="AL47" t="str">
        <f>IF($B47=735,SUM($G47-(SUM($H47:$I47))),"")</f>
        <v/>
      </c>
      <c r="AM47" t="str">
        <f>IF($B47=727,SUM($G47-(SUM($H47:$I47))),"")</f>
        <v/>
      </c>
      <c r="AN47" t="str">
        <f>IF($B47=718,SUM($G47-(SUM($H47:$I47))),"")</f>
        <v/>
      </c>
      <c r="AO47" t="str">
        <f>IF($B47=719,SUM($G47-(SUM($H47:$I47))),"")</f>
        <v/>
      </c>
      <c r="AP47" t="str">
        <f>IF($B47=717,SUM($G47-(SUM($H47:$I47))),"")</f>
        <v/>
      </c>
      <c r="AQ47" t="str">
        <f>IF($B47=722,SUM($G47-(SUM($H47:$I47))),"")</f>
        <v/>
      </c>
      <c r="AR47" t="str">
        <f>IF($B47=708,SUM($G47-(SUM($H47:$I47))),"")</f>
        <v/>
      </c>
      <c r="AS47" t="str">
        <f>IF($B47=701,SUM($G47-(SUM($H47:$I47))),"")</f>
        <v/>
      </c>
      <c r="AT47" t="str">
        <f>IF($B47=702,SUM($G47-(SUM($H47:$I47))),"")</f>
        <v/>
      </c>
      <c r="AU47" t="str">
        <f>IF($B47=731,SUM($G47-(SUM($H47:$I47))),"")</f>
        <v/>
      </c>
      <c r="AV47" t="str">
        <f>IF($B47=730,SUM($G47-(SUM($H47:$I47))),"")</f>
        <v/>
      </c>
    </row>
    <row r="48">
      <c r="B48" t="n" s="0">
        <v>734.0</v>
      </c>
      <c r="C48" t="s">
        <v>75</v>
      </c>
      <c r="D48" t="n">
        <f>D47+G48</f>
        <v>0.0</v>
      </c>
      <c r="F48" t="n">
        <f>SUM(H48:AV48)-G48</f>
        <v>0.0</v>
      </c>
      <c r="G48" s="2" t="n">
        <v>0.0</v>
      </c>
      <c r="H48" t="str">
        <f>IF(G48/23*3&gt;0,SUM(G48/23*3),"")</f>
        <v/>
      </c>
      <c r="I48" t="str">
        <f>IF(G48/23*3&lt;0,SUM(G48/23*3),"")</f>
        <v/>
      </c>
      <c r="J48" t="str">
        <f>IF($B48=707,SUM($G48-(SUM($H48:$I48))),"")</f>
        <v/>
      </c>
      <c r="K48" t="str">
        <f>IF($B48=706,SUM($G48-(SUM($H48:$I48))),"")</f>
        <v/>
      </c>
      <c r="L48" t="str">
        <f>IF($B48=703,SUM($G48-(SUM($H48:$I48))),"")</f>
        <v/>
      </c>
      <c r="M48" t="str">
        <f>IF($B48=704,SUM($G48-(SUM($H48:$I48))),"")</f>
        <v/>
      </c>
      <c r="N48" t="str">
        <f>IF($B48=709,SUM($G48-(SUM($H48:$I48))),"")</f>
        <v/>
      </c>
      <c r="O48" t="str">
        <f>IF($B48=738,SUM($G48-(SUM($H48:$I48))),"")</f>
        <v/>
      </c>
      <c r="P48" t="str">
        <f>IF($B48=739,SUM($G48-(SUM($H48:$I48))),"")</f>
        <v/>
      </c>
      <c r="Q48" t="str">
        <f>IF($B48=714,SUM($G48-(SUM($H48:$I48))),"")</f>
        <v/>
      </c>
      <c r="R48" t="str">
        <f>IF($B48=710,SUM($G48-(SUM($H48:$I48))),"")</f>
        <v/>
      </c>
      <c r="S48" t="str">
        <f>IF($B48=711,SUM($G48-(SUM($H48:$I48))),"")</f>
        <v/>
      </c>
      <c r="T48" t="str">
        <f>IF($B48=712,SUM($G48-(SUM($H48:$I48))),"")</f>
        <v/>
      </c>
      <c r="U48" t="str">
        <f>IF($B48=713,SUM($G48-(SUM($H48:$I48))),"")</f>
        <v/>
      </c>
      <c r="V48" t="str">
        <f>IF($B48=715,SUM($G48-(SUM($H48:$I48))),"")</f>
        <v/>
      </c>
      <c r="W48" t="str">
        <f>IF($B48=724,SUM($G48-(SUM($H48:$I48))),"")</f>
        <v/>
      </c>
      <c r="X48" t="str">
        <f>IF($B48=725,SUM($G48-(SUM($H48:$I48))),"")</f>
        <v/>
      </c>
      <c r="Y48" t="str">
        <f>IF($B48=726,SUM($G48-(SUM($H48:$I48))),"")</f>
        <v/>
      </c>
      <c r="Z48" t="str">
        <f>IF($B48=727,SUM($G48-(SUM($H48:$I48))),"")</f>
        <v/>
      </c>
      <c r="AA48" t="str">
        <f>IF($B48=728,SUM($G48-(SUM($H48:$I48))),"")</f>
        <v/>
      </c>
      <c r="AB48" t="str">
        <f>IF($B48=729,SUM($G48-(SUM($H48:$I48))),"")</f>
        <v/>
      </c>
      <c r="AC48" t="str">
        <f>IF($B48=730,SUM($G48-(SUM($H48:$I48))),"")</f>
        <v/>
      </c>
      <c r="AD48" t="str">
        <f>IF($B48=732,SUM($G48-(SUM($H48:$I48))),"")</f>
        <v/>
      </c>
      <c r="AE48" t="str">
        <f>IF($B48=733,SUM($G48-(SUM($H48:$I48))),"")</f>
        <v/>
      </c>
      <c r="AF48" t="n">
        <f>IF($B48=734,SUM($G48-(SUM($H48:$I48))),"")</f>
        <v>0.0</v>
      </c>
      <c r="AG48" t="str">
        <f>IF($B48=705,SUM($G48-(SUM($H48:$I48))),"")</f>
        <v/>
      </c>
      <c r="AH48" t="str">
        <f>IF($B48=735,SUM($G48-(SUM($H48:$I48))),"")</f>
        <v/>
      </c>
      <c r="AI48" t="str">
        <f>IF($B48=736,SUM($G48-(SUM($H48:$I48))),"")</f>
        <v/>
      </c>
      <c r="AJ48" t="str">
        <f>IF($B48=737,SUM($G48-(SUM($H48:$I48))),"")</f>
        <v/>
      </c>
      <c r="AK48" t="str">
        <f>IF($B48=725,SUM($G48-(SUM($H48:$I48))),"")</f>
        <v/>
      </c>
      <c r="AL48" t="str">
        <f>IF($B48=735,SUM($G48-(SUM($H48:$I48))),"")</f>
        <v/>
      </c>
      <c r="AM48" t="str">
        <f>IF($B48=727,SUM($G48-(SUM($H48:$I48))),"")</f>
        <v/>
      </c>
      <c r="AN48" t="str">
        <f>IF($B48=718,SUM($G48-(SUM($H48:$I48))),"")</f>
        <v/>
      </c>
      <c r="AO48" t="str">
        <f>IF($B48=719,SUM($G48-(SUM($H48:$I48))),"")</f>
        <v/>
      </c>
      <c r="AP48" t="str">
        <f>IF($B48=717,SUM($G48-(SUM($H48:$I48))),"")</f>
        <v/>
      </c>
      <c r="AQ48" t="str">
        <f>IF($B48=722,SUM($G48-(SUM($H48:$I48))),"")</f>
        <v/>
      </c>
      <c r="AR48" t="str">
        <f>IF($B48=708,SUM($G48-(SUM($H48:$I48))),"")</f>
        <v/>
      </c>
      <c r="AS48" t="str">
        <f>IF($B48=701,SUM($G48-(SUM($H48:$I48))),"")</f>
        <v/>
      </c>
      <c r="AT48" t="str">
        <f>IF($B48=702,SUM($G48-(SUM($H48:$I48))),"")</f>
        <v/>
      </c>
      <c r="AU48" t="str">
        <f>IF($B48=731,SUM($G48-(SUM($H48:$I48))),"")</f>
        <v/>
      </c>
      <c r="AV48" t="str">
        <f>IF($B48=730,SUM($G48-(SUM($H48:$I48))),"")</f>
        <v/>
      </c>
    </row>
    <row r="49">
      <c r="B49" t="n" s="0">
        <v>734.0</v>
      </c>
      <c r="C49" t="s">
        <v>75</v>
      </c>
      <c r="D49" t="n">
        <f>D48+G49</f>
        <v>0.0</v>
      </c>
      <c r="F49" t="n">
        <f>SUM(H49:AV49)-G49</f>
        <v>0.0</v>
      </c>
      <c r="G49" s="2" t="n">
        <v>0.0</v>
      </c>
      <c r="H49" t="str">
        <f>IF(G49/23*3&gt;0,SUM(G49/23*3),"")</f>
        <v/>
      </c>
      <c r="I49" t="str">
        <f>IF(G49/23*3&lt;0,SUM(G49/23*3),"")</f>
        <v/>
      </c>
      <c r="J49" t="str">
        <f>IF($B49=707,SUM($G49-(SUM($H49:$I49))),"")</f>
        <v/>
      </c>
      <c r="K49" t="str">
        <f>IF($B49=706,SUM($G49-(SUM($H49:$I49))),"")</f>
        <v/>
      </c>
      <c r="L49" t="str">
        <f>IF($B49=703,SUM($G49-(SUM($H49:$I49))),"")</f>
        <v/>
      </c>
      <c r="M49" t="str">
        <f>IF($B49=704,SUM($G49-(SUM($H49:$I49))),"")</f>
        <v/>
      </c>
      <c r="N49" t="str">
        <f>IF($B49=709,SUM($G49-(SUM($H49:$I49))),"")</f>
        <v/>
      </c>
      <c r="O49" t="str">
        <f>IF($B49=738,SUM($G49-(SUM($H49:$I49))),"")</f>
        <v/>
      </c>
      <c r="P49" t="str">
        <f>IF($B49=739,SUM($G49-(SUM($H49:$I49))),"")</f>
        <v/>
      </c>
      <c r="Q49" t="str">
        <f>IF($B49=714,SUM($G49-(SUM($H49:$I49))),"")</f>
        <v/>
      </c>
      <c r="R49" t="str">
        <f>IF($B49=710,SUM($G49-(SUM($H49:$I49))),"")</f>
        <v/>
      </c>
      <c r="S49" t="str">
        <f>IF($B49=711,SUM($G49-(SUM($H49:$I49))),"")</f>
        <v/>
      </c>
      <c r="T49" t="str">
        <f>IF($B49=712,SUM($G49-(SUM($H49:$I49))),"")</f>
        <v/>
      </c>
      <c r="U49" t="str">
        <f>IF($B49=713,SUM($G49-(SUM($H49:$I49))),"")</f>
        <v/>
      </c>
      <c r="V49" t="str">
        <f>IF($B49=715,SUM($G49-(SUM($H49:$I49))),"")</f>
        <v/>
      </c>
      <c r="W49" t="str">
        <f>IF($B49=724,SUM($G49-(SUM($H49:$I49))),"")</f>
        <v/>
      </c>
      <c r="X49" t="str">
        <f>IF($B49=725,SUM($G49-(SUM($H49:$I49))),"")</f>
        <v/>
      </c>
      <c r="Y49" t="str">
        <f>IF($B49=726,SUM($G49-(SUM($H49:$I49))),"")</f>
        <v/>
      </c>
      <c r="Z49" t="str">
        <f>IF($B49=727,SUM($G49-(SUM($H49:$I49))),"")</f>
        <v/>
      </c>
      <c r="AA49" t="str">
        <f>IF($B49=728,SUM($G49-(SUM($H49:$I49))),"")</f>
        <v/>
      </c>
      <c r="AB49" t="str">
        <f>IF($B49=729,SUM($G49-(SUM($H49:$I49))),"")</f>
        <v/>
      </c>
      <c r="AC49" t="str">
        <f>IF($B49=730,SUM($G49-(SUM($H49:$I49))),"")</f>
        <v/>
      </c>
      <c r="AD49" t="str">
        <f>IF($B49=732,SUM($G49-(SUM($H49:$I49))),"")</f>
        <v/>
      </c>
      <c r="AE49" t="str">
        <f>IF($B49=733,SUM($G49-(SUM($H49:$I49))),"")</f>
        <v/>
      </c>
      <c r="AF49" t="n">
        <f>IF($B49=734,SUM($G49-(SUM($H49:$I49))),"")</f>
        <v>0.0</v>
      </c>
      <c r="AG49" t="str">
        <f>IF($B49=705,SUM($G49-(SUM($H49:$I49))),"")</f>
        <v/>
      </c>
      <c r="AH49" t="str">
        <f>IF($B49=735,SUM($G49-(SUM($H49:$I49))),"")</f>
        <v/>
      </c>
      <c r="AI49" t="str">
        <f>IF($B49=736,SUM($G49-(SUM($H49:$I49))),"")</f>
        <v/>
      </c>
      <c r="AJ49" t="str">
        <f>IF($B49=737,SUM($G49-(SUM($H49:$I49))),"")</f>
        <v/>
      </c>
      <c r="AK49" t="str">
        <f>IF($B49=725,SUM($G49-(SUM($H49:$I49))),"")</f>
        <v/>
      </c>
      <c r="AL49" t="str">
        <f>IF($B49=735,SUM($G49-(SUM($H49:$I49))),"")</f>
        <v/>
      </c>
      <c r="AM49" t="str">
        <f>IF($B49=727,SUM($G49-(SUM($H49:$I49))),"")</f>
        <v/>
      </c>
      <c r="AN49" t="str">
        <f>IF($B49=718,SUM($G49-(SUM($H49:$I49))),"")</f>
        <v/>
      </c>
      <c r="AO49" t="str">
        <f>IF($B49=719,SUM($G49-(SUM($H49:$I49))),"")</f>
        <v/>
      </c>
      <c r="AP49" t="str">
        <f>IF($B49=717,SUM($G49-(SUM($H49:$I49))),"")</f>
        <v/>
      </c>
      <c r="AQ49" t="str">
        <f>IF($B49=722,SUM($G49-(SUM($H49:$I49))),"")</f>
        <v/>
      </c>
      <c r="AR49" t="str">
        <f>IF($B49=708,SUM($G49-(SUM($H49:$I49))),"")</f>
        <v/>
      </c>
      <c r="AS49" t="str">
        <f>IF($B49=701,SUM($G49-(SUM($H49:$I49))),"")</f>
        <v/>
      </c>
      <c r="AT49" t="str">
        <f>IF($B49=702,SUM($G49-(SUM($H49:$I49))),"")</f>
        <v/>
      </c>
      <c r="AU49" t="str">
        <f>IF($B49=731,SUM($G49-(SUM($H49:$I49))),"")</f>
        <v/>
      </c>
      <c r="AV49" t="str">
        <f>IF($B49=730,SUM($G49-(SUM($H49:$I49))),"")</f>
        <v/>
      </c>
    </row>
    <row r="50">
      <c r="B50" t="n" s="0">
        <v>724.0</v>
      </c>
      <c r="C50" t="s">
        <v>66</v>
      </c>
      <c r="D50" t="n">
        <f>D49+G50</f>
        <v>0.0</v>
      </c>
      <c r="F50" t="n">
        <f>SUM(H50:AV50)-G50</f>
        <v>0.0</v>
      </c>
      <c r="G50" s="2" t="n">
        <v>0.0</v>
      </c>
      <c r="H50" t="str">
        <f>IF(G50/23*3&gt;0,SUM(G50/23*3),"")</f>
        <v/>
      </c>
      <c r="J50" t="str">
        <f>IF($B50=707,SUM($G50-(SUM($H50:$I50))),"")</f>
        <v/>
      </c>
      <c r="K50" t="str">
        <f>IF($B50=706,SUM($G50-(SUM($H50:$I50))),"")</f>
        <v/>
      </c>
      <c r="L50" t="str">
        <f>IF($B50=703,SUM($G50-(SUM($H50:$I50))),"")</f>
        <v/>
      </c>
      <c r="M50" t="str">
        <f>IF($B50=704,SUM($G50-(SUM($H50:$I50))),"")</f>
        <v/>
      </c>
      <c r="N50" t="str">
        <f>IF($B50=709,SUM($G50-(SUM($H50:$I50))),"")</f>
        <v/>
      </c>
      <c r="O50" t="str">
        <f>IF($B50=738,SUM($G50-(SUM($H50:$I50))),"")</f>
        <v/>
      </c>
      <c r="P50" t="str">
        <f>IF($B50=739,SUM($G50-(SUM($H50:$I50))),"")</f>
        <v/>
      </c>
      <c r="Q50" t="str">
        <f>IF($B50=714,SUM($G50-(SUM($H50:$I50))),"")</f>
        <v/>
      </c>
      <c r="R50" t="str">
        <f>IF($B50=710,SUM($G50-(SUM($H50:$I50))),"")</f>
        <v/>
      </c>
      <c r="S50" t="str">
        <f>IF($B50=711,SUM($G50-(SUM($H50:$I50))),"")</f>
        <v/>
      </c>
      <c r="T50" t="str">
        <f>IF($B50=712,SUM($G50-(SUM($H50:$I50))),"")</f>
        <v/>
      </c>
      <c r="U50" t="str">
        <f>IF($B50=713,SUM($G50-(SUM($H50:$I50))),"")</f>
        <v/>
      </c>
      <c r="V50" t="str">
        <f>IF($B50=715,SUM($G50-(SUM($H50:$I50))),"")</f>
        <v/>
      </c>
      <c r="W50" t="n">
        <f>IF($B50=724,SUM($G50-(SUM($H50:$I50))),"")</f>
        <v>0.0</v>
      </c>
      <c r="X50" t="str">
        <f>IF($B50=725,SUM($G50-(SUM($H50:$I50))),"")</f>
        <v/>
      </c>
      <c r="Y50" t="str">
        <f>IF($B50=726,SUM($G50-(SUM($H50:$I50))),"")</f>
        <v/>
      </c>
      <c r="Z50" t="str">
        <f>IF($B50=727,SUM($G50-(SUM($H50:$I50))),"")</f>
        <v/>
      </c>
      <c r="AA50" t="str">
        <f>IF($B50=728,SUM($G50-(SUM($H50:$I50))),"")</f>
        <v/>
      </c>
      <c r="AB50" t="str">
        <f>IF($B50=729,SUM($G50-(SUM($H50:$I50))),"")</f>
        <v/>
      </c>
      <c r="AC50" t="str">
        <f>IF($B50=730,SUM($G50-(SUM($H50:$I50))),"")</f>
        <v/>
      </c>
      <c r="AD50" t="str">
        <f>IF($B50=732,SUM($G50-(SUM($H50:$I50))),"")</f>
        <v/>
      </c>
      <c r="AE50" t="str">
        <f>IF($B50=733,SUM($G50-(SUM($H50:$I50))),"")</f>
        <v/>
      </c>
      <c r="AF50" t="str">
        <f>IF($B50=734,SUM($G50-(SUM($H50:$I50))),"")</f>
        <v/>
      </c>
      <c r="AG50" t="str">
        <f>IF($B50=705,SUM($G50-(SUM($H50:$I50))),"")</f>
        <v/>
      </c>
      <c r="AH50" t="str">
        <f>IF($B50=735,SUM($G50-(SUM($H50:$I50))),"")</f>
        <v/>
      </c>
      <c r="AI50" t="str">
        <f>IF($B50=736,SUM($G50-(SUM($H50:$I50))),"")</f>
        <v/>
      </c>
      <c r="AJ50" t="str">
        <f>IF($B50=737,SUM($G50-(SUM($H50:$I50))),"")</f>
        <v/>
      </c>
      <c r="AK50" t="str">
        <f>IF($B50=725,SUM($G50-(SUM($H50:$I50))),"")</f>
        <v/>
      </c>
      <c r="AL50" t="str">
        <f>IF($B50=735,SUM($G50-(SUM($H50:$I50))),"")</f>
        <v/>
      </c>
      <c r="AM50" t="str">
        <f>IF($B50=727,SUM($G50-(SUM($H50:$I50))),"")</f>
        <v/>
      </c>
      <c r="AN50" t="str">
        <f>IF($B50=718,SUM($G50-(SUM($H50:$I50))),"")</f>
        <v/>
      </c>
      <c r="AO50" t="str">
        <f>IF($B50=719,SUM($G50-(SUM($H50:$I50))),"")</f>
        <v/>
      </c>
      <c r="AP50" t="str">
        <f>IF($B50=717,SUM($G50-(SUM($H50:$I50))),"")</f>
        <v/>
      </c>
      <c r="AQ50" t="str">
        <f>IF($B50=722,SUM($G50-(SUM($H50:$I50))),"")</f>
        <v/>
      </c>
      <c r="AR50" t="str">
        <f>IF($B50=708,SUM($G50-(SUM($H50:$I50))),"")</f>
        <v/>
      </c>
      <c r="AS50" t="str">
        <f>IF($B50=701,SUM($G50-(SUM($H50:$I50))),"")</f>
        <v/>
      </c>
      <c r="AT50" t="str">
        <f>IF($B50=702,SUM($G50-(SUM($H50:$I50))),"")</f>
        <v/>
      </c>
      <c r="AU50" t="str">
        <f>IF($B50=731,SUM($G50-(SUM($H50:$I50))),"")</f>
        <v/>
      </c>
      <c r="AV50" t="str">
        <f>IF($B50=730,SUM($G50-(SUM($H50:$I50))),"")</f>
        <v/>
      </c>
    </row>
    <row r="51">
      <c r="B51" t="n" s="0">
        <v>710.0</v>
      </c>
      <c r="C51" t="s">
        <v>61</v>
      </c>
      <c r="D51" t="n">
        <f>D50+G51</f>
        <v>0.0</v>
      </c>
      <c r="F51" t="n">
        <f>SUM(H51:AV51)-G51</f>
        <v>0.0</v>
      </c>
      <c r="G51" s="2" t="n">
        <v>0.0</v>
      </c>
      <c r="H51" t="str">
        <f>IF(G51/23*3&gt;0,SUM(G51/23*3),"")</f>
        <v/>
      </c>
      <c r="J51" t="str">
        <f>IF($B51=707,SUM($G51-(SUM($H51:$I51))),"")</f>
        <v/>
      </c>
      <c r="K51" t="str">
        <f>IF($B51=706,SUM($G51-(SUM($H51:$I51))),"")</f>
        <v/>
      </c>
      <c r="L51" t="str">
        <f>IF($B51=703,SUM($G51-(SUM($H51:$I51))),"")</f>
        <v/>
      </c>
      <c r="M51" t="str">
        <f>IF($B51=704,SUM($G51-(SUM($H51:$I51))),"")</f>
        <v/>
      </c>
      <c r="N51" t="str">
        <f>IF($B51=709,SUM($G51-(SUM($H51:$I51))),"")</f>
        <v/>
      </c>
      <c r="O51" t="str">
        <f>IF($B51=738,SUM($G51-(SUM($H51:$I51))),"")</f>
        <v/>
      </c>
      <c r="P51" t="str">
        <f>IF($B51=739,SUM($G51-(SUM($H51:$I51))),"")</f>
        <v/>
      </c>
      <c r="Q51" t="str">
        <f>IF($B51=714,SUM($G51-(SUM($H51:$I51))),"")</f>
        <v/>
      </c>
      <c r="R51" t="n">
        <f>IF($B51=710,SUM($G51-(SUM($H51:$I51))),"")</f>
        <v>0.0</v>
      </c>
      <c r="S51" t="str">
        <f>IF($B51=711,SUM($G51-(SUM($H51:$I51))),"")</f>
        <v/>
      </c>
      <c r="T51" t="str">
        <f>IF($B51=712,SUM($G51-(SUM($H51:$I51))),"")</f>
        <v/>
      </c>
      <c r="U51" t="str">
        <f>IF($B51=713,SUM($G51-(SUM($H51:$I51))),"")</f>
        <v/>
      </c>
      <c r="V51" t="str">
        <f>IF($B51=715,SUM($G51-(SUM($H51:$I51))),"")</f>
        <v/>
      </c>
      <c r="W51" t="str">
        <f>IF($B51=724,SUM($G51-(SUM($H51:$I51))),"")</f>
        <v/>
      </c>
      <c r="X51" t="str">
        <f>IF($B51=725,SUM($G51-(SUM($H51:$I51))),"")</f>
        <v/>
      </c>
      <c r="Y51" t="str">
        <f>IF($B51=726,SUM($G51-(SUM($H51:$I51))),"")</f>
        <v/>
      </c>
      <c r="Z51" t="str">
        <f>IF($B51=727,SUM($G51-(SUM($H51:$I51))),"")</f>
        <v/>
      </c>
      <c r="AA51" t="str">
        <f>IF($B51=728,SUM($G51-(SUM($H51:$I51))),"")</f>
        <v/>
      </c>
      <c r="AB51" t="str">
        <f>IF($B51=729,SUM($G51-(SUM($H51:$I51))),"")</f>
        <v/>
      </c>
      <c r="AC51" t="str">
        <f>IF($B51=730,SUM($G51-(SUM($H51:$I51))),"")</f>
        <v/>
      </c>
      <c r="AD51" t="str">
        <f>IF($B51=732,SUM($G51-(SUM($H51:$I51))),"")</f>
        <v/>
      </c>
      <c r="AE51" t="str">
        <f>IF($B51=733,SUM($G51-(SUM($H51:$I51))),"")</f>
        <v/>
      </c>
      <c r="AF51" t="str">
        <f>IF($B51=734,SUM($G51-(SUM($H51:$I51))),"")</f>
        <v/>
      </c>
      <c r="AG51" t="str">
        <f>IF($B51=705,SUM($G51-(SUM($H51:$I51))),"")</f>
        <v/>
      </c>
      <c r="AH51" t="str">
        <f>IF($B51=735,SUM($G51-(SUM($H51:$I51))),"")</f>
        <v/>
      </c>
      <c r="AI51" t="str">
        <f>IF($B51=736,SUM($G51-(SUM($H51:$I51))),"")</f>
        <v/>
      </c>
      <c r="AJ51" t="str">
        <f>IF($B51=737,SUM($G51-(SUM($H51:$I51))),"")</f>
        <v/>
      </c>
      <c r="AK51" t="str">
        <f>IF($B51=725,SUM($G51-(SUM($H51:$I51))),"")</f>
        <v/>
      </c>
      <c r="AL51" t="str">
        <f>IF($B51=735,SUM($G51-(SUM($H51:$I51))),"")</f>
        <v/>
      </c>
      <c r="AM51" t="str">
        <f>IF($B51=727,SUM($G51-(SUM($H51:$I51))),"")</f>
        <v/>
      </c>
      <c r="AN51" t="str">
        <f>IF($B51=718,SUM($G51-(SUM($H51:$I51))),"")</f>
        <v/>
      </c>
      <c r="AO51" t="str">
        <f>IF($B51=719,SUM($G51-(SUM($H51:$I51))),"")</f>
        <v/>
      </c>
      <c r="AP51" t="str">
        <f>IF($B51=717,SUM($G51-(SUM($H51:$I51))),"")</f>
        <v/>
      </c>
      <c r="AQ51" t="str">
        <f>IF($B51=722,SUM($G51-(SUM($H51:$I51))),"")</f>
        <v/>
      </c>
      <c r="AR51" t="str">
        <f>IF($B51=708,SUM($G51-(SUM($H51:$I51))),"")</f>
        <v/>
      </c>
      <c r="AS51" t="str">
        <f>IF($B51=701,SUM($G51-(SUM($H51:$I51))),"")</f>
        <v/>
      </c>
      <c r="AT51" t="str">
        <f>IF($B51=702,SUM($G51-(SUM($H51:$I51))),"")</f>
        <v/>
      </c>
      <c r="AU51" t="str">
        <f>IF($B51=731,SUM($G51-(SUM($H51:$I51))),"")</f>
        <v/>
      </c>
      <c r="AV51" t="str">
        <f>IF($B51=730,SUM($G51-(SUM($H51:$I51))),"")</f>
        <v/>
      </c>
    </row>
    <row r="52">
      <c r="B52" t="n" s="0">
        <v>739.0</v>
      </c>
      <c r="C52" t="s">
        <v>84</v>
      </c>
      <c r="D52" t="n">
        <f>D51+G52</f>
        <v>0.0</v>
      </c>
      <c r="F52" t="n">
        <f>SUM(H52:AV52)-G52</f>
        <v>0.0</v>
      </c>
      <c r="G52" s="2" t="n">
        <v>0.0</v>
      </c>
      <c r="H52" t="str">
        <f>IF(G52/23*3&gt;0,SUM(G52/23*3),"")</f>
        <v/>
      </c>
      <c r="I52" t="n">
        <v>0.0</v>
      </c>
      <c r="J52" t="str">
        <f>IF($B52=707,SUM($G52-(SUM($H52:$I52))),"")</f>
        <v/>
      </c>
      <c r="K52" t="str">
        <f>IF($B52=706,SUM($G52-(SUM($H52:$I52))),"")</f>
        <v/>
      </c>
      <c r="L52" t="str">
        <f>IF($B52=703,SUM($G52-(SUM($H52:$I52))),"")</f>
        <v/>
      </c>
      <c r="M52" t="str">
        <f>IF($B52=704,SUM($G52-(SUM($H52:$I52))),"")</f>
        <v/>
      </c>
      <c r="N52" t="str">
        <f>IF($B52=709,SUM($G52-(SUM($H52:$I52))),"")</f>
        <v/>
      </c>
      <c r="O52" t="str">
        <f>IF($B52=738,SUM($G52-(SUM($H52:$I52))),"")</f>
        <v/>
      </c>
      <c r="P52" t="n">
        <f>IF($B52=739,SUM($G52-(SUM($H52:$I52))),"")</f>
        <v>0.0</v>
      </c>
      <c r="Q52" t="str">
        <f>IF($B52=714,SUM($G52-(SUM($H52:$I52))),"")</f>
        <v/>
      </c>
      <c r="R52" t="str">
        <f>IF($B52=710,SUM($G52-(SUM($H52:$I52))),"")</f>
        <v/>
      </c>
      <c r="S52" t="str">
        <f>IF($B52=711,SUM($G52-(SUM($H52:$I52))),"")</f>
        <v/>
      </c>
      <c r="T52" t="str">
        <f>IF($B52=712,SUM($G52-(SUM($H52:$I52))),"")</f>
        <v/>
      </c>
      <c r="U52" t="str">
        <f>IF($B52=713,SUM($G52-(SUM($H52:$I52))),"")</f>
        <v/>
      </c>
      <c r="V52" t="str">
        <f>IF($B52=715,SUM($G52-(SUM($H52:$I52))),"")</f>
        <v/>
      </c>
      <c r="W52" t="str">
        <f>IF($B52=724,SUM($G52-(SUM($H52:$I52))),"")</f>
        <v/>
      </c>
      <c r="X52" t="str">
        <f>IF($B52=725,SUM($G52-(SUM($H52:$I52))),"")</f>
        <v/>
      </c>
      <c r="Y52" t="str">
        <f>IF($B52=726,SUM($G52-(SUM($H52:$I52))),"")</f>
        <v/>
      </c>
      <c r="Z52" t="str">
        <f>IF($B52=727,SUM($G52-(SUM($H52:$I52))),"")</f>
        <v/>
      </c>
      <c r="AA52" t="str">
        <f>IF($B52=728,SUM($G52-(SUM($H52:$I52))),"")</f>
        <v/>
      </c>
      <c r="AB52" t="str">
        <f>IF($B52=729,SUM($G52-(SUM($H52:$I52))),"")</f>
        <v/>
      </c>
      <c r="AC52" t="str">
        <f>IF($B52=730,SUM($G52-(SUM($H52:$I52))),"")</f>
        <v/>
      </c>
      <c r="AD52" t="str">
        <f>IF($B52=732,SUM($G52-(SUM($H52:$I52))),"")</f>
        <v/>
      </c>
      <c r="AE52" t="str">
        <f>IF($B52=733,SUM($G52-(SUM($H52:$I52))),"")</f>
        <v/>
      </c>
      <c r="AF52" t="str">
        <f>IF($B52=734,SUM($G52-(SUM($H52:$I52))),"")</f>
        <v/>
      </c>
      <c r="AG52" t="str">
        <f>IF($B52=705,SUM($G52-(SUM($H52:$I52))),"")</f>
        <v/>
      </c>
      <c r="AH52" t="str">
        <f>IF($B52=735,SUM($G52-(SUM($H52:$I52))),"")</f>
        <v/>
      </c>
      <c r="AI52" t="str">
        <f>IF($B52=736,SUM($G52-(SUM($H52:$I52))),"")</f>
        <v/>
      </c>
      <c r="AJ52" t="str">
        <f>IF($B52=737,SUM($G52-(SUM($H52:$I52))),"")</f>
        <v/>
      </c>
      <c r="AK52" t="str">
        <f>IF($B52=725,SUM($G52-(SUM($H52:$I52))),"")</f>
        <v/>
      </c>
      <c r="AL52" t="str">
        <f>IF($B52=735,SUM($G52-(SUM($H52:$I52))),"")</f>
        <v/>
      </c>
      <c r="AM52" t="str">
        <f>IF($B52=727,SUM($G52-(SUM($H52:$I52))),"")</f>
        <v/>
      </c>
      <c r="AN52" t="str">
        <f>IF($B52=718,SUM($G52-(SUM($H52:$I52))),"")</f>
        <v/>
      </c>
      <c r="AO52" t="str">
        <f>IF($B52=719,SUM($G52-(SUM($H52:$I52))),"")</f>
        <v/>
      </c>
      <c r="AP52" t="str">
        <f>IF($B52=717,SUM($G52-(SUM($H52:$I52))),"")</f>
        <v/>
      </c>
      <c r="AQ52" t="str">
        <f>IF($B52=722,SUM($G52-(SUM($H52:$I52))),"")</f>
        <v/>
      </c>
      <c r="AR52" t="str">
        <f>IF($B52=708,SUM($G52-(SUM($H52:$I52))),"")</f>
        <v/>
      </c>
      <c r="AS52" t="str">
        <f>IF($B52=701,SUM($G52-(SUM($H52:$I52))),"")</f>
        <v/>
      </c>
      <c r="AT52" t="str">
        <f>IF($B52=702,SUM($G52-(SUM($H52:$I52))),"")</f>
        <v/>
      </c>
      <c r="AU52" t="str">
        <f>IF($B52=731,SUM($G52-(SUM($H52:$I52))),"")</f>
        <v/>
      </c>
      <c r="AV52" t="str">
        <f>IF($B52=730,SUM($G52-(SUM($H52:$I52))),"")</f>
        <v/>
      </c>
    </row>
    <row r="53">
      <c r="B53" t="n" s="0">
        <v>739.0</v>
      </c>
      <c r="C53" t="s">
        <v>84</v>
      </c>
      <c r="D53" t="n">
        <f>D52+G53</f>
        <v>0.0</v>
      </c>
      <c r="F53" t="n">
        <f>SUM(H53:AV53)-G53</f>
        <v>0.0</v>
      </c>
      <c r="G53" s="2" t="n">
        <v>0.0</v>
      </c>
      <c r="H53" t="str">
        <f>IF(G53/23*3&gt;0,SUM(G53/23*3),"")</f>
        <v/>
      </c>
      <c r="I53" t="n">
        <v>0.0</v>
      </c>
      <c r="J53" t="str">
        <f>IF($B53=707,SUM($G53-(SUM($H53:$I53))),"")</f>
        <v/>
      </c>
      <c r="K53" t="str">
        <f>IF($B53=706,SUM($G53-(SUM($H53:$I53))),"")</f>
        <v/>
      </c>
      <c r="L53" t="str">
        <f>IF($B53=703,SUM($G53-(SUM($H53:$I53))),"")</f>
        <v/>
      </c>
      <c r="M53" t="str">
        <f>IF($B53=704,SUM($G53-(SUM($H53:$I53))),"")</f>
        <v/>
      </c>
      <c r="N53" t="str">
        <f>IF($B53=709,SUM($G53-(SUM($H53:$I53))),"")</f>
        <v/>
      </c>
      <c r="O53" t="str">
        <f>IF($B53=738,SUM($G53-(SUM($H53:$I53))),"")</f>
        <v/>
      </c>
      <c r="P53" t="n">
        <f>IF($B53=739,SUM($G53-(SUM($H53:$I53))),"")</f>
        <v>0.0</v>
      </c>
      <c r="Q53" t="str">
        <f>IF($B53=714,SUM($G53-(SUM($H53:$I53))),"")</f>
        <v/>
      </c>
      <c r="R53" t="str">
        <f>IF($B53=710,SUM($G53-(SUM($H53:$I53))),"")</f>
        <v/>
      </c>
      <c r="S53" t="str">
        <f>IF($B53=711,SUM($G53-(SUM($H53:$I53))),"")</f>
        <v/>
      </c>
      <c r="T53" t="str">
        <f>IF($B53=712,SUM($G53-(SUM($H53:$I53))),"")</f>
        <v/>
      </c>
      <c r="U53" t="str">
        <f>IF($B53=713,SUM($G53-(SUM($H53:$I53))),"")</f>
        <v/>
      </c>
      <c r="V53" t="str">
        <f>IF($B53=715,SUM($G53-(SUM($H53:$I53))),"")</f>
        <v/>
      </c>
      <c r="W53" t="str">
        <f>IF($B53=724,SUM($G53-(SUM($H53:$I53))),"")</f>
        <v/>
      </c>
      <c r="X53" t="str">
        <f>IF($B53=725,SUM($G53-(SUM($H53:$I53))),"")</f>
        <v/>
      </c>
      <c r="Y53" t="str">
        <f>IF($B53=726,SUM($G53-(SUM($H53:$I53))),"")</f>
        <v/>
      </c>
      <c r="Z53" t="str">
        <f>IF($B53=727,SUM($G53-(SUM($H53:$I53))),"")</f>
        <v/>
      </c>
      <c r="AA53" t="str">
        <f>IF($B53=728,SUM($G53-(SUM($H53:$I53))),"")</f>
        <v/>
      </c>
      <c r="AB53" t="str">
        <f>IF($B53=729,SUM($G53-(SUM($H53:$I53))),"")</f>
        <v/>
      </c>
      <c r="AC53" t="str">
        <f>IF($B53=730,SUM($G53-(SUM($H53:$I53))),"")</f>
        <v/>
      </c>
      <c r="AD53" t="str">
        <f>IF($B53=732,SUM($G53-(SUM($H53:$I53))),"")</f>
        <v/>
      </c>
      <c r="AE53" t="str">
        <f>IF($B53=733,SUM($G53-(SUM($H53:$I53))),"")</f>
        <v/>
      </c>
      <c r="AF53" t="str">
        <f>IF($B53=734,SUM($G53-(SUM($H53:$I53))),"")</f>
        <v/>
      </c>
      <c r="AG53" t="str">
        <f>IF($B53=705,SUM($G53-(SUM($H53:$I53))),"")</f>
        <v/>
      </c>
      <c r="AH53" t="str">
        <f>IF($B53=735,SUM($G53-(SUM($H53:$I53))),"")</f>
        <v/>
      </c>
      <c r="AI53" t="str">
        <f>IF($B53=736,SUM($G53-(SUM($H53:$I53))),"")</f>
        <v/>
      </c>
      <c r="AJ53" t="str">
        <f>IF($B53=737,SUM($G53-(SUM($H53:$I53))),"")</f>
        <v/>
      </c>
      <c r="AK53" t="str">
        <f>IF($B53=725,SUM($G53-(SUM($H53:$I53))),"")</f>
        <v/>
      </c>
      <c r="AL53" t="str">
        <f>IF($B53=735,SUM($G53-(SUM($H53:$I53))),"")</f>
        <v/>
      </c>
      <c r="AM53" t="str">
        <f>IF($B53=727,SUM($G53-(SUM($H53:$I53))),"")</f>
        <v/>
      </c>
      <c r="AN53" t="str">
        <f>IF($B53=718,SUM($G53-(SUM($H53:$I53))),"")</f>
        <v/>
      </c>
      <c r="AO53" t="str">
        <f>IF($B53=719,SUM($G53-(SUM($H53:$I53))),"")</f>
        <v/>
      </c>
      <c r="AP53" t="str">
        <f>IF($B53=717,SUM($G53-(SUM($H53:$I53))),"")</f>
        <v/>
      </c>
      <c r="AQ53" t="str">
        <f>IF($B53=722,SUM($G53-(SUM($H53:$I53))),"")</f>
        <v/>
      </c>
      <c r="AR53" t="str">
        <f>IF($B53=708,SUM($G53-(SUM($H53:$I53))),"")</f>
        <v/>
      </c>
      <c r="AS53" t="str">
        <f>IF($B53=701,SUM($G53-(SUM($H53:$I53))),"")</f>
        <v/>
      </c>
      <c r="AT53" t="str">
        <f>IF($B53=702,SUM($G53-(SUM($H53:$I53))),"")</f>
        <v/>
      </c>
      <c r="AU53" t="str">
        <f>IF($B53=731,SUM($G53-(SUM($H53:$I53))),"")</f>
        <v/>
      </c>
      <c r="AV53" t="str">
        <f>IF($B53=730,SUM($G53-(SUM($H53:$I53))),"")</f>
        <v/>
      </c>
    </row>
    <row r="54">
      <c r="B54" t="n" s="0">
        <v>711.0</v>
      </c>
      <c r="C54" t="s">
        <v>82</v>
      </c>
      <c r="D54" t="n">
        <f>D53+G54</f>
        <v>0.0</v>
      </c>
      <c r="F54" t="n">
        <f>SUM(H54:AV54)-G54</f>
        <v>0.0</v>
      </c>
      <c r="G54" s="2" t="n">
        <v>0.0</v>
      </c>
      <c r="H54" t="str">
        <f>IF(G54/23*3&gt;0,SUM(G54/23*3),"")</f>
        <v/>
      </c>
      <c r="I54" t="str">
        <f>IF(G54/23*3&lt;0,SUM(G54/23*3),"")</f>
        <v/>
      </c>
      <c r="J54" t="str">
        <f>IF($B54=707,SUM($G54-(SUM($H54:$I54))),"")</f>
        <v/>
      </c>
      <c r="K54" t="str">
        <f>IF($B54=706,SUM($G54-(SUM($H54:$I54))),"")</f>
        <v/>
      </c>
      <c r="L54" t="str">
        <f>IF($B54=703,SUM($G54-(SUM($H54:$I54))),"")</f>
        <v/>
      </c>
      <c r="M54" t="str">
        <f>IF($B54=704,SUM($G54-(SUM($H54:$I54))),"")</f>
        <v/>
      </c>
      <c r="N54" t="str">
        <f>IF($B54=709,SUM($G54-(SUM($H54:$I54))),"")</f>
        <v/>
      </c>
      <c r="O54" t="str">
        <f>IF($B54=738,SUM($G54-(SUM($H54:$I54))),"")</f>
        <v/>
      </c>
      <c r="P54" t="str">
        <f>IF($B54=739,SUM($G54-(SUM($H54:$I54))),"")</f>
        <v/>
      </c>
      <c r="Q54" t="str">
        <f>IF($B54=714,SUM($G54-(SUM($H54:$I54))),"")</f>
        <v/>
      </c>
      <c r="R54" t="str">
        <f>IF($B54=710,SUM($G54-(SUM($H54:$I54))),"")</f>
        <v/>
      </c>
      <c r="S54" t="n">
        <f>IF($B54=711,SUM($G54-(SUM($H54:$I54))),"")</f>
        <v>0.0</v>
      </c>
      <c r="T54" t="str">
        <f>IF($B54=712,SUM($G54-(SUM($H54:$I54))),"")</f>
        <v/>
      </c>
      <c r="U54" t="str">
        <f>IF($B54=713,SUM($G54-(SUM($H54:$I54))),"")</f>
        <v/>
      </c>
      <c r="V54" t="str">
        <f>IF($B54=715,SUM($G54-(SUM($H54:$I54))),"")</f>
        <v/>
      </c>
      <c r="W54" t="str">
        <f>IF($B54=724,SUM($G54-(SUM($H54:$I54))),"")</f>
        <v/>
      </c>
      <c r="X54" t="str">
        <f>IF($B54=725,SUM($G54-(SUM($H54:$I54))),"")</f>
        <v/>
      </c>
      <c r="Y54" t="str">
        <f>IF($B54=726,SUM($G54-(SUM($H54:$I54))),"")</f>
        <v/>
      </c>
      <c r="Z54" t="str">
        <f>IF($B54=727,SUM($G54-(SUM($H54:$I54))),"")</f>
        <v/>
      </c>
      <c r="AA54" t="str">
        <f>IF($B54=728,SUM($G54-(SUM($H54:$I54))),"")</f>
        <v/>
      </c>
      <c r="AB54" t="str">
        <f>IF($B54=729,SUM($G54-(SUM($H54:$I54))),"")</f>
        <v/>
      </c>
      <c r="AC54" t="str">
        <f>IF($B54=730,SUM($G54-(SUM($H54:$I54))),"")</f>
        <v/>
      </c>
      <c r="AD54" t="str">
        <f>IF($B54=732,SUM($G54-(SUM($H54:$I54))),"")</f>
        <v/>
      </c>
      <c r="AE54" t="str">
        <f>IF($B54=733,SUM($G54-(SUM($H54:$I54))),"")</f>
        <v/>
      </c>
      <c r="AF54" t="str">
        <f>IF($B54=734,SUM($G54-(SUM($H54:$I54))),"")</f>
        <v/>
      </c>
      <c r="AG54" t="str">
        <f>IF($B54=705,SUM($G54-(SUM($H54:$I54))),"")</f>
        <v/>
      </c>
      <c r="AH54" t="str">
        <f>IF($B54=735,SUM($G54-(SUM($H54:$I54))),"")</f>
        <v/>
      </c>
      <c r="AI54" t="str">
        <f>IF($B54=736,SUM($G54-(SUM($H54:$I54))),"")</f>
        <v/>
      </c>
      <c r="AJ54" t="str">
        <f>IF($B54=737,SUM($G54-(SUM($H54:$I54))),"")</f>
        <v/>
      </c>
      <c r="AK54" t="str">
        <f>IF($B54=725,SUM($G54-(SUM($H54:$I54))),"")</f>
        <v/>
      </c>
      <c r="AL54" t="str">
        <f>IF($B54=735,SUM($G54-(SUM($H54:$I54))),"")</f>
        <v/>
      </c>
      <c r="AM54" t="str">
        <f>IF($B54=727,SUM($G54-(SUM($H54:$I54))),"")</f>
        <v/>
      </c>
      <c r="AN54" t="str">
        <f>IF($B54=718,SUM($G54-(SUM($H54:$I54))),"")</f>
        <v/>
      </c>
      <c r="AO54" t="str">
        <f>IF($B54=719,SUM($G54-(SUM($H54:$I54))),"")</f>
        <v/>
      </c>
      <c r="AP54" t="str">
        <f>IF($B54=717,SUM($G54-(SUM($H54:$I54))),"")</f>
        <v/>
      </c>
      <c r="AQ54" t="str">
        <f>IF($B54=722,SUM($G54-(SUM($H54:$I54))),"")</f>
        <v/>
      </c>
      <c r="AR54" t="str">
        <f>IF($B54=708,SUM($G54-(SUM($H54:$I54))),"")</f>
        <v/>
      </c>
      <c r="AS54" t="str">
        <f>IF($B54=701,SUM($G54-(SUM($H54:$I54))),"")</f>
        <v/>
      </c>
      <c r="AT54" t="str">
        <f>IF($B54=702,SUM($G54-(SUM($H54:$I54))),"")</f>
        <v/>
      </c>
      <c r="AU54" t="str">
        <f>IF($B54=731,SUM($G54-(SUM($H54:$I54))),"")</f>
        <v/>
      </c>
      <c r="AV54" t="str">
        <f>IF($B54=730,SUM($G54-(SUM($H54:$I54))),"")</f>
        <v/>
      </c>
    </row>
    <row r="55">
      <c r="D55" t="n" s="0">
        <f>D54+G55</f>
        <v>0.0</v>
      </c>
      <c r="F55" t="n" s="0">
        <f>SUM(H55:AV55)-G55</f>
        <v>0.0</v>
      </c>
      <c r="H55" t="str" s="0">
        <f>IF(G55/23*3&gt;0,SUM(G55/23*3),"")</f>
        <v/>
      </c>
      <c r="I55" t="str" s="0">
        <f>IF(G55/23*3&lt;0,SUM(G55/23*3),"")</f>
        <v/>
      </c>
      <c r="J55" t="str" s="0">
        <f>IF($B55=707,SUM($G55-(SUM($H55:$I55))),"")</f>
        <v/>
      </c>
      <c r="K55" t="str" s="0">
        <f>IF($B55=706,SUM($G55-(SUM($H55:$I55))),"")</f>
        <v/>
      </c>
      <c r="L55" t="str" s="0">
        <f>IF($B55=703,SUM($G55-(SUM($H55:$I55))),"")</f>
        <v/>
      </c>
      <c r="M55" t="str" s="0">
        <f>IF($B55=704,SUM($G55-(SUM($H55:$I55))),"")</f>
        <v/>
      </c>
      <c r="N55" t="str" s="0">
        <f>IF($B55=709,SUM($G55-(SUM($H55:$I55))),"")</f>
        <v/>
      </c>
      <c r="O55" t="str" s="0">
        <f>IF($B55=738,SUM($G55-(SUM($H55:$I55))),"")</f>
        <v/>
      </c>
      <c r="P55" t="str" s="0">
        <f>IF($B55=739,SUM($G55-(SUM($H55:$I55))),"")</f>
        <v/>
      </c>
      <c r="Q55" t="str" s="0">
        <f>IF($B55=714,SUM($G55-(SUM($H55:$I55))),"")</f>
        <v/>
      </c>
      <c r="R55" t="str" s="0">
        <f>IF($B55=710,SUM($G55-(SUM($H55:$I55))),"")</f>
        <v/>
      </c>
      <c r="S55" t="str" s="0">
        <f>IF($B55=711,SUM($G55-(SUM($H55:$I55))),"")</f>
        <v/>
      </c>
      <c r="T55" t="str" s="0">
        <f>IF($B55=712,SUM($G55-(SUM($H55:$I55))),"")</f>
        <v/>
      </c>
      <c r="U55" t="str" s="0">
        <f>IF($B55=713,SUM($G55-(SUM($H55:$I55))),"")</f>
        <v/>
      </c>
      <c r="V55" t="str" s="0">
        <f>IF($B55=715,SUM($G55-(SUM($H55:$I55))),"")</f>
        <v/>
      </c>
      <c r="W55" t="str" s="0">
        <f>IF($B55=724,SUM($G55-(SUM($H55:$I55))),"")</f>
        <v/>
      </c>
      <c r="X55" t="str" s="0">
        <f>IF($B55=725,SUM($G55-(SUM($H55:$I55))),"")</f>
        <v/>
      </c>
      <c r="Y55" t="str" s="0">
        <f>IF($B55=726,SUM($G55-(SUM($H55:$I55))),"")</f>
        <v/>
      </c>
      <c r="Z55" t="str" s="0">
        <f>IF($B55=727,SUM($G55-(SUM($H55:$I55))),"")</f>
        <v/>
      </c>
      <c r="AA55" t="str" s="0">
        <f>IF($B55=728,SUM($G55-(SUM($H55:$I55))),"")</f>
        <v/>
      </c>
      <c r="AB55" t="str" s="0">
        <f>IF($B55=729,SUM($G55-(SUM($H55:$I55))),"")</f>
        <v/>
      </c>
      <c r="AC55" t="str" s="0">
        <f>IF($B55=730,SUM($G55-(SUM($H55:$I55))),"")</f>
        <v/>
      </c>
      <c r="AD55" t="str" s="0">
        <f>IF($B55=732,SUM($G55-(SUM($H55:$I55))),"")</f>
        <v/>
      </c>
      <c r="AE55" t="str" s="0">
        <f>IF($B55=733,SUM($G55-(SUM($H55:$I55))),"")</f>
        <v/>
      </c>
      <c r="AF55" t="str" s="0">
        <f>IF($B55=734,SUM($G55-(SUM($H55:$I55))),"")</f>
        <v/>
      </c>
      <c r="AG55" t="str" s="0">
        <f>IF($B55=705,SUM($G55-(SUM($H55:$I55))),"")</f>
        <v/>
      </c>
      <c r="AH55" t="str" s="0">
        <f>IF($B55=735,SUM($G55-(SUM($H55:$I55))),"")</f>
        <v/>
      </c>
      <c r="AI55" t="str" s="0">
        <f>IF($B55=736,SUM($G55-(SUM($H55:$I55))),"")</f>
        <v/>
      </c>
      <c r="AJ55" t="str" s="0">
        <f>IF($B55=737,SUM($G55-(SUM($H55:$I55))),"")</f>
        <v/>
      </c>
      <c r="AK55" t="str" s="0">
        <f>IF($B55=725,SUM($G55-(SUM($H55:$I55))),"")</f>
        <v/>
      </c>
      <c r="AL55" t="str" s="0">
        <f>IF($B55=735,SUM($G55-(SUM($H55:$I55))),"")</f>
        <v/>
      </c>
      <c r="AM55" t="str" s="0">
        <f>IF($B55=727,SUM($G55-(SUM($H55:$I55))),"")</f>
        <v/>
      </c>
      <c r="AN55" t="str" s="0">
        <f>IF($B55=718,SUM($G55-(SUM($H55:$I55))),"")</f>
        <v/>
      </c>
      <c r="AO55" t="str" s="0">
        <f>IF($B55=719,SUM($G55-(SUM($H55:$I55))),"")</f>
        <v/>
      </c>
      <c r="AP55" t="str" s="0">
        <f>IF($B55=717,SUM($G55-(SUM($H55:$I55))),"")</f>
        <v/>
      </c>
      <c r="AQ55" t="str" s="0">
        <f>IF($B55=722,SUM($G55-(SUM($H55:$I55))),"")</f>
        <v/>
      </c>
      <c r="AR55" t="str" s="0">
        <f>IF($B55=708,SUM($G55-(SUM($H55:$I55))),"")</f>
        <v/>
      </c>
      <c r="AS55" t="str" s="0">
        <f>IF($B55=701,SUM($G55-(SUM($H55:$I55))),"")</f>
        <v/>
      </c>
      <c r="AT55" t="str" s="0">
        <f>IF($B55=702,SUM($G55-(SUM($H55:$I55))),"")</f>
        <v/>
      </c>
      <c r="AU55" t="str" s="0">
        <f>IF($B55=731,SUM($G55-(SUM($H55:$I55))),"")</f>
        <v/>
      </c>
      <c r="AV55" t="str" s="0">
        <f>IF($B55=730,SUM($G55-(SUM($H55:$I55))),"")</f>
        <v/>
      </c>
    </row>
    <row r="56">
      <c r="B56" t="n" s="0">
        <v>707.0</v>
      </c>
      <c r="C56" t="s">
        <v>89</v>
      </c>
      <c r="D56" t="n">
        <f>D55+G56</f>
        <v>0.0</v>
      </c>
      <c r="F56" t="n">
        <f>SUM(H56:AV56)-G56</f>
        <v>0.0</v>
      </c>
      <c r="G56" s="2" t="n">
        <v>0.0</v>
      </c>
      <c r="H56" t="str">
        <f>IF(G56/23*3&gt;0,SUM(G56/23*3),"")</f>
        <v/>
      </c>
      <c r="I56" t="str">
        <f>IF(G56/23*3&lt;0,SUM(G56/23*3),"")</f>
        <v/>
      </c>
      <c r="J56" t="n">
        <f>IF($B56=707,SUM($G56-(SUM($H56:$I56))),"")</f>
        <v>0.0</v>
      </c>
      <c r="K56" t="str">
        <f>IF($B56=706,SUM($G56-(SUM($H56:$I56))),"")</f>
        <v/>
      </c>
      <c r="L56" t="str">
        <f>IF($B56=703,SUM($G56-(SUM($H56:$I56))),"")</f>
        <v/>
      </c>
      <c r="M56" t="str">
        <f>IF($B56=704,SUM($G56-(SUM($H56:$I56))),"")</f>
        <v/>
      </c>
      <c r="N56" t="str">
        <f>IF($B56=709,SUM($G56-(SUM($H56:$I56))),"")</f>
        <v/>
      </c>
      <c r="O56" t="str">
        <f>IF($B56=738,SUM($G56-(SUM($H56:$I56))),"")</f>
        <v/>
      </c>
      <c r="P56" t="str">
        <f>IF($B56=739,SUM($G56-(SUM($H56:$I56))),"")</f>
        <v/>
      </c>
      <c r="Q56" t="str">
        <f>IF($B56=714,SUM($G56-(SUM($H56:$I56))),"")</f>
        <v/>
      </c>
      <c r="R56" t="str">
        <f>IF($B56=710,SUM($G56-(SUM($H56:$I56))),"")</f>
        <v/>
      </c>
      <c r="S56" t="str">
        <f>IF($B56=711,SUM($G56-(SUM($H56:$I56))),"")</f>
        <v/>
      </c>
      <c r="T56" t="str">
        <f>IF($B56=712,SUM($G56-(SUM($H56:$I56))),"")</f>
        <v/>
      </c>
      <c r="U56" t="str">
        <f>IF($B56=713,SUM($G56-(SUM($H56:$I56))),"")</f>
        <v/>
      </c>
      <c r="V56" t="str">
        <f>IF($B56=715,SUM($G56-(SUM($H56:$I56))),"")</f>
        <v/>
      </c>
      <c r="W56" t="str">
        <f>IF($B56=724,SUM($G56-(SUM($H56:$I56))),"")</f>
        <v/>
      </c>
      <c r="X56" t="str">
        <f>IF($B56=725,SUM($G56-(SUM($H56:$I56))),"")</f>
        <v/>
      </c>
      <c r="Y56" t="str">
        <f>IF($B56=726,SUM($G56-(SUM($H56:$I56))),"")</f>
        <v/>
      </c>
      <c r="Z56" t="str">
        <f>IF($B56=727,SUM($G56-(SUM($H56:$I56))),"")</f>
        <v/>
      </c>
      <c r="AA56" t="str">
        <f>IF($B56=728,SUM($G56-(SUM($H56:$I56))),"")</f>
        <v/>
      </c>
      <c r="AB56" t="str">
        <f>IF($B56=729,SUM($G56-(SUM($H56:$I56))),"")</f>
        <v/>
      </c>
      <c r="AC56" t="str">
        <f>IF($B56=730,SUM($G56-(SUM($H56:$I56))),"")</f>
        <v/>
      </c>
      <c r="AD56" t="str">
        <f>IF($B56=732,SUM($G56-(SUM($H56:$I56))),"")</f>
        <v/>
      </c>
      <c r="AE56" t="str">
        <f>IF($B56=733,SUM($G56-(SUM($H56:$I56))),"")</f>
        <v/>
      </c>
      <c r="AF56" t="str">
        <f>IF($B56=734,SUM($G56-(SUM($H56:$I56))),"")</f>
        <v/>
      </c>
      <c r="AG56" t="str">
        <f>IF($B56=705,SUM($G56-(SUM($H56:$I56))),"")</f>
        <v/>
      </c>
      <c r="AH56" t="str">
        <f>IF($B56=735,SUM($G56-(SUM($H56:$I56))),"")</f>
        <v/>
      </c>
      <c r="AI56" t="str">
        <f>IF($B56=736,SUM($G56-(SUM($H56:$I56))),"")</f>
        <v/>
      </c>
      <c r="AJ56" t="str">
        <f>IF($B56=737,SUM($G56-(SUM($H56:$I56))),"")</f>
        <v/>
      </c>
      <c r="AK56" t="str">
        <f>IF($B56=725,SUM($G56-(SUM($H56:$I56))),"")</f>
        <v/>
      </c>
      <c r="AL56" t="str">
        <f>IF($B56=735,SUM($G56-(SUM($H56:$I56))),"")</f>
        <v/>
      </c>
      <c r="AM56" t="str">
        <f>IF($B56=727,SUM($G56-(SUM($H56:$I56))),"")</f>
        <v/>
      </c>
      <c r="AN56" t="str">
        <f>IF($B56=718,SUM($G56-(SUM($H56:$I56))),"")</f>
        <v/>
      </c>
      <c r="AO56" t="str">
        <f>IF($B56=719,SUM($G56-(SUM($H56:$I56))),"")</f>
        <v/>
      </c>
      <c r="AP56" t="str">
        <f>IF($B56=717,SUM($G56-(SUM($H56:$I56))),"")</f>
        <v/>
      </c>
      <c r="AQ56" t="str">
        <f>IF($B56=722,SUM($G56-(SUM($H56:$I56))),"")</f>
        <v/>
      </c>
      <c r="AR56" t="str">
        <f>IF($B56=708,SUM($G56-(SUM($H56:$I56))),"")</f>
        <v/>
      </c>
      <c r="AS56" t="str">
        <f>IF($B56=701,SUM($G56-(SUM($H56:$I56))),"")</f>
        <v/>
      </c>
      <c r="AT56" t="str">
        <f>IF($B56=702,SUM($G56-(SUM($H56:$I56))),"")</f>
        <v/>
      </c>
      <c r="AU56" t="str">
        <f>IF($B56=731,SUM($G56-(SUM($H56:$I56))),"")</f>
        <v/>
      </c>
      <c r="AV56" t="str">
        <f>IF($B56=730,SUM($G56-(SUM($H56:$I56))),"")</f>
        <v/>
      </c>
    </row>
    <row r="57">
      <c r="B57" t="n" s="0">
        <v>707.0</v>
      </c>
      <c r="C57" t="s">
        <v>89</v>
      </c>
      <c r="D57" t="n">
        <f>D56+G57</f>
        <v>0.0</v>
      </c>
      <c r="F57" t="n">
        <f>SUM(H57:AV57)-G57</f>
        <v>0.0</v>
      </c>
      <c r="G57" s="2" t="n">
        <v>0.0</v>
      </c>
      <c r="H57" t="str">
        <f>IF(G57/23*3&gt;0,SUM(G57/23*3),"")</f>
        <v/>
      </c>
      <c r="I57" t="str">
        <f>IF(G57/23*3&lt;0,SUM(G57/23*3),"")</f>
        <v/>
      </c>
      <c r="J57" t="n">
        <f>IF($B57=707,SUM($G57-(SUM($H57:$I57))),"")</f>
        <v>0.0</v>
      </c>
      <c r="K57" t="str">
        <f>IF($B57=706,SUM($G57-(SUM($H57:$I57))),"")</f>
        <v/>
      </c>
      <c r="L57" t="str">
        <f>IF($B57=703,SUM($G57-(SUM($H57:$I57))),"")</f>
        <v/>
      </c>
      <c r="M57" t="str">
        <f>IF($B57=704,SUM($G57-(SUM($H57:$I57))),"")</f>
        <v/>
      </c>
      <c r="N57" t="str">
        <f>IF($B57=709,SUM($G57-(SUM($H57:$I57))),"")</f>
        <v/>
      </c>
      <c r="O57" t="str">
        <f>IF($B57=738,SUM($G57-(SUM($H57:$I57))),"")</f>
        <v/>
      </c>
      <c r="P57" t="str">
        <f>IF($B57=739,SUM($G57-(SUM($H57:$I57))),"")</f>
        <v/>
      </c>
      <c r="Q57" t="str">
        <f>IF($B57=714,SUM($G57-(SUM($H57:$I57))),"")</f>
        <v/>
      </c>
      <c r="R57" t="str">
        <f>IF($B57=710,SUM($G57-(SUM($H57:$I57))),"")</f>
        <v/>
      </c>
      <c r="S57" t="str">
        <f>IF($B57=711,SUM($G57-(SUM($H57:$I57))),"")</f>
        <v/>
      </c>
      <c r="T57" t="str">
        <f>IF($B57=712,SUM($G57-(SUM($H57:$I57))),"")</f>
        <v/>
      </c>
      <c r="U57" t="str">
        <f>IF($B57=713,SUM($G57-(SUM($H57:$I57))),"")</f>
        <v/>
      </c>
      <c r="V57" t="str">
        <f>IF($B57=715,SUM($G57-(SUM($H57:$I57))),"")</f>
        <v/>
      </c>
      <c r="W57" t="str">
        <f>IF($B57=724,SUM($G57-(SUM($H57:$I57))),"")</f>
        <v/>
      </c>
      <c r="X57" t="str">
        <f>IF($B57=725,SUM($G57-(SUM($H57:$I57))),"")</f>
        <v/>
      </c>
      <c r="Y57" t="str">
        <f>IF($B57=726,SUM($G57-(SUM($H57:$I57))),"")</f>
        <v/>
      </c>
      <c r="Z57" t="str">
        <f>IF($B57=727,SUM($G57-(SUM($H57:$I57))),"")</f>
        <v/>
      </c>
      <c r="AA57" t="str">
        <f>IF($B57=728,SUM($G57-(SUM($H57:$I57))),"")</f>
        <v/>
      </c>
      <c r="AB57" t="str">
        <f>IF($B57=729,SUM($G57-(SUM($H57:$I57))),"")</f>
        <v/>
      </c>
      <c r="AC57" t="str">
        <f>IF($B57=730,SUM($G57-(SUM($H57:$I57))),"")</f>
        <v/>
      </c>
      <c r="AD57" t="str">
        <f>IF($B57=732,SUM($G57-(SUM($H57:$I57))),"")</f>
        <v/>
      </c>
      <c r="AE57" t="str">
        <f>IF($B57=733,SUM($G57-(SUM($H57:$I57))),"")</f>
        <v/>
      </c>
      <c r="AF57" t="str">
        <f>IF($B57=734,SUM($G57-(SUM($H57:$I57))),"")</f>
        <v/>
      </c>
      <c r="AG57" t="str">
        <f>IF($B57=705,SUM($G57-(SUM($H57:$I57))),"")</f>
        <v/>
      </c>
      <c r="AH57" t="str">
        <f>IF($B57=735,SUM($G57-(SUM($H57:$I57))),"")</f>
        <v/>
      </c>
      <c r="AI57" t="str">
        <f>IF($B57=736,SUM($G57-(SUM($H57:$I57))),"")</f>
        <v/>
      </c>
      <c r="AJ57" t="str">
        <f>IF($B57=737,SUM($G57-(SUM($H57:$I57))),"")</f>
        <v/>
      </c>
      <c r="AK57" t="str">
        <f>IF($B57=725,SUM($G57-(SUM($H57:$I57))),"")</f>
        <v/>
      </c>
      <c r="AL57" t="str">
        <f>IF($B57=735,SUM($G57-(SUM($H57:$I57))),"")</f>
        <v/>
      </c>
      <c r="AM57" t="str">
        <f>IF($B57=727,SUM($G57-(SUM($H57:$I57))),"")</f>
        <v/>
      </c>
      <c r="AN57" t="str">
        <f>IF($B57=718,SUM($G57-(SUM($H57:$I57))),"")</f>
        <v/>
      </c>
      <c r="AO57" t="str">
        <f>IF($B57=719,SUM($G57-(SUM($H57:$I57))),"")</f>
        <v/>
      </c>
      <c r="AP57" t="str">
        <f>IF($B57=717,SUM($G57-(SUM($H57:$I57))),"")</f>
        <v/>
      </c>
      <c r="AQ57" t="str">
        <f>IF($B57=722,SUM($G57-(SUM($H57:$I57))),"")</f>
        <v/>
      </c>
      <c r="AR57" t="str">
        <f>IF($B57=708,SUM($G57-(SUM($H57:$I57))),"")</f>
        <v/>
      </c>
      <c r="AS57" t="str">
        <f>IF($B57=701,SUM($G57-(SUM($H57:$I57))),"")</f>
        <v/>
      </c>
      <c r="AT57" t="str">
        <f>IF($B57=702,SUM($G57-(SUM($H57:$I57))),"")</f>
        <v/>
      </c>
      <c r="AU57" t="str">
        <f>IF($B57=731,SUM($G57-(SUM($H57:$I57))),"")</f>
        <v/>
      </c>
      <c r="AV57" t="str">
        <f>IF($B57=730,SUM($G57-(SUM($H57:$I57))),"")</f>
        <v/>
      </c>
    </row>
    <row r="58">
      <c r="B58" t="n" s="0">
        <v>725.0</v>
      </c>
      <c r="C58" t="s">
        <v>77</v>
      </c>
      <c r="D58" t="n">
        <f>D57+G58</f>
        <v>0.0</v>
      </c>
      <c r="F58" t="n">
        <f>SUM(H58:AV58)-G58</f>
        <v>0.0</v>
      </c>
      <c r="G58" s="2" t="n">
        <v>0.0</v>
      </c>
      <c r="H58" t="str">
        <f>IF(G58/23*3&gt;0,SUM(G58/23*3),"")</f>
        <v/>
      </c>
      <c r="I58" t="str">
        <f>IF(G58/23*3&lt;0,SUM(G58/23*3),"")</f>
        <v/>
      </c>
      <c r="J58" t="str">
        <f>IF($B58=707,SUM($G58-(SUM($H58:$I58))),"")</f>
        <v/>
      </c>
      <c r="K58" t="str">
        <f>IF($B58=706,SUM($G58-(SUM($H58:$I58))),"")</f>
        <v/>
      </c>
      <c r="L58" t="str">
        <f>IF($B58=703,SUM($G58-(SUM($H58:$I58))),"")</f>
        <v/>
      </c>
      <c r="M58" t="str">
        <f>IF($B58=704,SUM($G58-(SUM($H58:$I58))),"")</f>
        <v/>
      </c>
      <c r="N58" t="str">
        <f>IF($B58=709,SUM($G58-(SUM($H58:$I58))),"")</f>
        <v/>
      </c>
      <c r="O58" t="str">
        <f>IF($B58=738,SUM($G58-(SUM($H58:$I58))),"")</f>
        <v/>
      </c>
      <c r="P58" t="str">
        <f>IF($B58=739,SUM($G58-(SUM($H58:$I58))),"")</f>
        <v/>
      </c>
      <c r="Q58" t="str">
        <f>IF($B58=714,SUM($G58-(SUM($H58:$I58))),"")</f>
        <v/>
      </c>
      <c r="R58" t="str">
        <f>IF($B58=710,SUM($G58-(SUM($H58:$I58))),"")</f>
        <v/>
      </c>
      <c r="S58" t="str">
        <f>IF($B58=711,SUM($G58-(SUM($H58:$I58))),"")</f>
        <v/>
      </c>
      <c r="T58" t="str">
        <f>IF($B58=712,SUM($G58-(SUM($H58:$I58))),"")</f>
        <v/>
      </c>
      <c r="U58" t="str">
        <f>IF($B58=713,SUM($G58-(SUM($H58:$I58))),"")</f>
        <v/>
      </c>
      <c r="V58" t="str">
        <f>IF($B58=715,SUM($G58-(SUM($H58:$I58))),"")</f>
        <v/>
      </c>
      <c r="W58" t="str">
        <f>IF($B58=724,SUM($G58-(SUM($H58:$I58))),"")</f>
        <v/>
      </c>
      <c r="X58" t="n">
        <f>IF($B58=725,SUM($G58-(SUM($H58:$I58))),"")</f>
        <v>0.0</v>
      </c>
      <c r="Y58" t="str">
        <f>IF($B58=726,SUM($G58-(SUM($H58:$I58))),"")</f>
        <v/>
      </c>
      <c r="Z58" t="str">
        <f>IF($B58=727,SUM($G58-(SUM($H58:$I58))),"")</f>
        <v/>
      </c>
      <c r="AA58" t="str">
        <f>IF($B58=728,SUM($G58-(SUM($H58:$I58))),"")</f>
        <v/>
      </c>
      <c r="AB58" t="str">
        <f>IF($B58=729,SUM($G58-(SUM($H58:$I58))),"")</f>
        <v/>
      </c>
      <c r="AC58" t="str">
        <f>IF($B58=730,SUM($G58-(SUM($H58:$I58))),"")</f>
        <v/>
      </c>
      <c r="AD58" t="str">
        <f>IF($B58=732,SUM($G58-(SUM($H58:$I58))),"")</f>
        <v/>
      </c>
      <c r="AE58" t="str">
        <f>IF($B58=733,SUM($G58-(SUM($H58:$I58))),"")</f>
        <v/>
      </c>
      <c r="AF58" t="str">
        <f>IF($B58=734,SUM($G58-(SUM($H58:$I58))),"")</f>
        <v/>
      </c>
      <c r="AG58" t="str">
        <f>IF($B58=705,SUM($G58-(SUM($H58:$I58))),"")</f>
        <v/>
      </c>
      <c r="AH58" t="str">
        <f>IF($B58=735,SUM($G58-(SUM($H58:$I58))),"")</f>
        <v/>
      </c>
      <c r="AI58" t="str">
        <f>IF($B58=736,SUM($G58-(SUM($H58:$I58))),"")</f>
        <v/>
      </c>
      <c r="AJ58" t="str">
        <f>IF($B58=737,SUM($G58-(SUM($H58:$I58))),"")</f>
        <v/>
      </c>
      <c r="AK58" t="n">
        <f>IF($B58=725,SUM($G58-(SUM($H58:$I58))),"")</f>
        <v>0.0</v>
      </c>
      <c r="AL58" t="str">
        <f>IF($B58=735,SUM($G58-(SUM($H58:$I58))),"")</f>
        <v/>
      </c>
      <c r="AM58" t="str">
        <f>IF($B58=727,SUM($G58-(SUM($H58:$I58))),"")</f>
        <v/>
      </c>
      <c r="AN58" t="str">
        <f>IF($B58=718,SUM($G58-(SUM($H58:$I58))),"")</f>
        <v/>
      </c>
      <c r="AO58" t="str">
        <f>IF($B58=719,SUM($G58-(SUM($H58:$I58))),"")</f>
        <v/>
      </c>
      <c r="AP58" t="str">
        <f>IF($B58=717,SUM($G58-(SUM($H58:$I58))),"")</f>
        <v/>
      </c>
      <c r="AQ58" t="str">
        <f>IF($B58=722,SUM($G58-(SUM($H58:$I58))),"")</f>
        <v/>
      </c>
      <c r="AR58" t="str">
        <f>IF($B58=708,SUM($G58-(SUM($H58:$I58))),"")</f>
        <v/>
      </c>
      <c r="AS58" t="str">
        <f>IF($B58=701,SUM($G58-(SUM($H58:$I58))),"")</f>
        <v/>
      </c>
      <c r="AT58" t="str">
        <f>IF($B58=702,SUM($G58-(SUM($H58:$I58))),"")</f>
        <v/>
      </c>
      <c r="AU58" t="str">
        <f>IF($B58=731,SUM($G58-(SUM($H58:$I58))),"")</f>
        <v/>
      </c>
      <c r="AV58" t="str">
        <f>IF($B58=730,SUM($G58-(SUM($H58:$I58))),"")</f>
        <v/>
      </c>
    </row>
    <row r="59">
      <c r="B59" t="n" s="0">
        <v>726.0</v>
      </c>
      <c r="C59" t="s">
        <v>78</v>
      </c>
      <c r="D59" t="n">
        <f>D58+G59</f>
        <v>0.0</v>
      </c>
      <c r="F59" t="n">
        <f>SUM(H59:AV59)-G59</f>
        <v>0.0</v>
      </c>
      <c r="G59" s="2" t="n">
        <f>-(OtherCalculation!C8)</f>
        <v>0.0</v>
      </c>
      <c r="H59" t="str">
        <f>IF(G59/23*3&gt;0,SUM(G59/23*3),"")</f>
        <v/>
      </c>
      <c r="I59" t="str">
        <f>IF(G59/23*3&lt;0,SUM(G59/23*3),"")</f>
        <v/>
      </c>
      <c r="J59" t="str">
        <f>IF($B59=707,SUM($G59-(SUM($H59:$I59))),"")</f>
        <v/>
      </c>
      <c r="K59" t="str">
        <f>IF($B59=706,SUM($G59-(SUM($H59:$I59))),"")</f>
        <v/>
      </c>
      <c r="L59" t="str">
        <f>IF($B59=703,SUM($G59-(SUM($H59:$I59))),"")</f>
        <v/>
      </c>
      <c r="M59" t="str">
        <f>IF($B59=704,SUM($G59-(SUM($H59:$I59))),"")</f>
        <v/>
      </c>
      <c r="N59" t="str">
        <f>IF($B59=709,SUM($G59-(SUM($H59:$I59))),"")</f>
        <v/>
      </c>
      <c r="O59" t="str">
        <f>IF($B59=738,SUM($G59-(SUM($H59:$I59))),"")</f>
        <v/>
      </c>
      <c r="P59" t="str">
        <f>IF($B59=739,SUM($G59-(SUM($H59:$I59))),"")</f>
        <v/>
      </c>
      <c r="Q59" t="str">
        <f>IF($B59=714,SUM($G59-(SUM($H59:$I59))),"")</f>
        <v/>
      </c>
      <c r="R59" t="str">
        <f>IF($B59=710,SUM($G59-(SUM($H59:$I59))),"")</f>
        <v/>
      </c>
      <c r="S59" t="str">
        <f>IF($B59=711,SUM($G59-(SUM($H59:$I59))),"")</f>
        <v/>
      </c>
      <c r="T59" t="str">
        <f>IF($B59=712,SUM($G59-(SUM($H59:$I59))),"")</f>
        <v/>
      </c>
      <c r="U59" t="str">
        <f>IF($B59=713,SUM($G59-(SUM($H59:$I59))),"")</f>
        <v/>
      </c>
      <c r="V59" t="str">
        <f>IF($B59=715,SUM($G59-(SUM($H59:$I59))),"")</f>
        <v/>
      </c>
      <c r="W59" t="str">
        <f>IF($B59=724,SUM($G59-(SUM($H59:$I59))),"")</f>
        <v/>
      </c>
      <c r="X59" t="str">
        <f>IF($B59=725,SUM($G59-(SUM($H59:$I59))),"")</f>
        <v/>
      </c>
      <c r="Y59" t="n">
        <f>IF($B59=726,SUM($G59-(SUM($H59:$I59))),"")</f>
        <v>0.0</v>
      </c>
      <c r="Z59" t="str">
        <f>IF($B59=727,SUM($G59-(SUM($H59:$I59))),"")</f>
        <v/>
      </c>
      <c r="AA59" t="str">
        <f>IF($B59=728,SUM($G59-(SUM($H59:$I59))),"")</f>
        <v/>
      </c>
      <c r="AB59" t="str">
        <f>IF($B59=729,SUM($G59-(SUM($H59:$I59))),"")</f>
        <v/>
      </c>
      <c r="AC59" t="str">
        <f>IF($B59=730,SUM($G59-(SUM($H59:$I59))),"")</f>
        <v/>
      </c>
      <c r="AD59" t="str">
        <f>IF($B59=732,SUM($G59-(SUM($H59:$I59))),"")</f>
        <v/>
      </c>
      <c r="AE59" t="str">
        <f>IF($B59=733,SUM($G59-(SUM($H59:$I59))),"")</f>
        <v/>
      </c>
      <c r="AF59" t="str">
        <f>IF($B59=734,SUM($G59-(SUM($H59:$I59))),"")</f>
        <v/>
      </c>
      <c r="AG59" t="str">
        <f>IF($B59=705,SUM($G59-(SUM($H59:$I59))),"")</f>
        <v/>
      </c>
      <c r="AH59" t="str">
        <f>IF($B59=735,SUM($G59-(SUM($H59:$I59))),"")</f>
        <v/>
      </c>
      <c r="AI59" t="str">
        <f>IF($B59=736,SUM($G59-(SUM($H59:$I59))),"")</f>
        <v/>
      </c>
      <c r="AJ59" t="str">
        <f>IF($B59=737,SUM($G59-(SUM($H59:$I59))),"")</f>
        <v/>
      </c>
      <c r="AK59" t="str">
        <f>IF($B59=725,SUM($G59-(SUM($H59:$I59))),"")</f>
        <v/>
      </c>
      <c r="AL59" t="str">
        <f>IF($B59=735,SUM($G59-(SUM($H59:$I59))),"")</f>
        <v/>
      </c>
      <c r="AM59" t="str">
        <f>IF($B59=727,SUM($G59-(SUM($H59:$I59))),"")</f>
        <v/>
      </c>
      <c r="AN59" t="str">
        <f>IF($B59=718,SUM($G59-(SUM($H59:$I59))),"")</f>
        <v/>
      </c>
      <c r="AO59" t="str">
        <f>IF($B59=719,SUM($G59-(SUM($H59:$I59))),"")</f>
        <v/>
      </c>
      <c r="AP59" t="str">
        <f>IF($B59=717,SUM($G59-(SUM($H59:$I59))),"")</f>
        <v/>
      </c>
      <c r="AQ59" t="str">
        <f>IF($B59=722,SUM($G59-(SUM($H59:$I59))),"")</f>
        <v/>
      </c>
      <c r="AR59" t="str">
        <f>IF($B59=708,SUM($G59-(SUM($H59:$I59))),"")</f>
        <v/>
      </c>
      <c r="AS59" t="str">
        <f>IF($B59=701,SUM($G59-(SUM($H59:$I59))),"")</f>
        <v/>
      </c>
      <c r="AT59" t="str">
        <f>IF($B59=702,SUM($G59-(SUM($H59:$I59))),"")</f>
        <v/>
      </c>
      <c r="AU59" t="str">
        <f>IF($B59=731,SUM($G59-(SUM($H59:$I59))),"")</f>
        <v/>
      </c>
      <c r="AV59" t="str">
        <f>IF($B59=730,SUM($G59-(SUM($H59:$I59))),"")</f>
        <v/>
      </c>
    </row>
    <row r="60">
      <c r="B60" t="n" s="0">
        <v>727.0</v>
      </c>
      <c r="C60" t="s">
        <v>79</v>
      </c>
      <c r="D60" t="n">
        <f>D59+G60</f>
        <v>0.0</v>
      </c>
      <c r="F60" t="n">
        <f>SUM(H60:AV60)-G60</f>
        <v>0.0</v>
      </c>
      <c r="G60" s="2" t="n">
        <v>0.0</v>
      </c>
      <c r="H60" t="str">
        <f>IF(G60/23*3&gt;0,SUM(G60/23*3),"")</f>
        <v/>
      </c>
      <c r="I60" t="str">
        <f>IF(G60/23*3&lt;0,SUM(G60/23*3),"")</f>
        <v/>
      </c>
      <c r="J60" t="str">
        <f>IF($B60=707,SUM($G60-(SUM($H60:$I60))),"")</f>
        <v/>
      </c>
      <c r="K60" t="str">
        <f>IF($B60=706,SUM($G60-(SUM($H60:$I60))),"")</f>
        <v/>
      </c>
      <c r="L60" t="str">
        <f>IF($B60=703,SUM($G60-(SUM($H60:$I60))),"")</f>
        <v/>
      </c>
      <c r="M60" t="str">
        <f>IF($B60=704,SUM($G60-(SUM($H60:$I60))),"")</f>
        <v/>
      </c>
      <c r="N60" t="str">
        <f>IF($B60=709,SUM($G60-(SUM($H60:$I60))),"")</f>
        <v/>
      </c>
      <c r="O60" t="str">
        <f>IF($B60=738,SUM($G60-(SUM($H60:$I60))),"")</f>
        <v/>
      </c>
      <c r="P60" t="str">
        <f>IF($B60=739,SUM($G60-(SUM($H60:$I60))),"")</f>
        <v/>
      </c>
      <c r="Q60" t="str">
        <f>IF($B60=714,SUM($G60-(SUM($H60:$I60))),"")</f>
        <v/>
      </c>
      <c r="R60" t="str">
        <f>IF($B60=710,SUM($G60-(SUM($H60:$I60))),"")</f>
        <v/>
      </c>
      <c r="S60" t="str">
        <f>IF($B60=711,SUM($G60-(SUM($H60:$I60))),"")</f>
        <v/>
      </c>
      <c r="T60" t="str">
        <f>IF($B60=712,SUM($G60-(SUM($H60:$I60))),"")</f>
        <v/>
      </c>
      <c r="U60" t="str">
        <f>IF($B60=713,SUM($G60-(SUM($H60:$I60))),"")</f>
        <v/>
      </c>
      <c r="V60" t="str">
        <f>IF($B60=715,SUM($G60-(SUM($H60:$I60))),"")</f>
        <v/>
      </c>
      <c r="W60" t="str">
        <f>IF($B60=724,SUM($G60-(SUM($H60:$I60))),"")</f>
        <v/>
      </c>
      <c r="X60" t="str">
        <f>IF($B60=725,SUM($G60-(SUM($H60:$I60))),"")</f>
        <v/>
      </c>
      <c r="Y60" t="str">
        <f>IF($B60=726,SUM($G60-(SUM($H60:$I60))),"")</f>
        <v/>
      </c>
      <c r="Z60" t="n">
        <f>IF($B60=727,SUM($G60-(SUM($H60:$I60))),"")</f>
        <v>0.0</v>
      </c>
      <c r="AA60" t="str">
        <f>IF($B60=728,SUM($G60-(SUM($H60:$I60))),"")</f>
        <v/>
      </c>
      <c r="AB60" t="str">
        <f>IF($B60=729,SUM($G60-(SUM($H60:$I60))),"")</f>
        <v/>
      </c>
      <c r="AC60" t="str">
        <f>IF($B60=730,SUM($G60-(SUM($H60:$I60))),"")</f>
        <v/>
      </c>
      <c r="AD60" t="str">
        <f>IF($B60=732,SUM($G60-(SUM($H60:$I60))),"")</f>
        <v/>
      </c>
      <c r="AE60" t="str">
        <f>IF($B60=733,SUM($G60-(SUM($H60:$I60))),"")</f>
        <v/>
      </c>
      <c r="AF60" t="str">
        <f>IF($B60=734,SUM($G60-(SUM($H60:$I60))),"")</f>
        <v/>
      </c>
      <c r="AG60" t="str">
        <f>IF($B60=705,SUM($G60-(SUM($H60:$I60))),"")</f>
        <v/>
      </c>
      <c r="AH60" t="str">
        <f>IF($B60=735,SUM($G60-(SUM($H60:$I60))),"")</f>
        <v/>
      </c>
      <c r="AI60" t="str">
        <f>IF($B60=736,SUM($G60-(SUM($H60:$I60))),"")</f>
        <v/>
      </c>
      <c r="AJ60" t="str">
        <f>IF($B60=737,SUM($G60-(SUM($H60:$I60))),"")</f>
        <v/>
      </c>
      <c r="AK60" t="str">
        <f>IF($B60=725,SUM($G60-(SUM($H60:$I60))),"")</f>
        <v/>
      </c>
      <c r="AL60" t="str">
        <f>IF($B60=735,SUM($G60-(SUM($H60:$I60))),"")</f>
        <v/>
      </c>
      <c r="AM60" t="n">
        <f>IF($B60=727,SUM($G60-(SUM($H60:$I60))),"")</f>
        <v>0.0</v>
      </c>
      <c r="AN60" t="str">
        <f>IF($B60=718,SUM($G60-(SUM($H60:$I60))),"")</f>
        <v/>
      </c>
      <c r="AO60" t="str">
        <f>IF($B60=719,SUM($G60-(SUM($H60:$I60))),"")</f>
        <v/>
      </c>
      <c r="AP60" t="str">
        <f>IF($B60=717,SUM($G60-(SUM($H60:$I60))),"")</f>
        <v/>
      </c>
      <c r="AQ60" t="str">
        <f>IF($B60=722,SUM($G60-(SUM($H60:$I60))),"")</f>
        <v/>
      </c>
      <c r="AR60" t="str">
        <f>IF($B60=708,SUM($G60-(SUM($H60:$I60))),"")</f>
        <v/>
      </c>
      <c r="AS60" t="str">
        <f>IF($B60=701,SUM($G60-(SUM($H60:$I60))),"")</f>
        <v/>
      </c>
      <c r="AT60" t="str">
        <f>IF($B60=702,SUM($G60-(SUM($H60:$I60))),"")</f>
        <v/>
      </c>
      <c r="AU60" t="str">
        <f>IF($B60=731,SUM($G60-(SUM($H60:$I60))),"")</f>
        <v/>
      </c>
      <c r="AV60" t="str">
        <f>IF($B60=730,SUM($G60-(SUM($H60:$I60))),"")</f>
        <v/>
      </c>
    </row>
    <row r="61">
      <c r="B61" t="n" s="0">
        <v>728.0</v>
      </c>
      <c r="C61" t="s">
        <v>80</v>
      </c>
      <c r="D61" t="n">
        <f>D60+G61</f>
        <v>0.0</v>
      </c>
      <c r="F61" t="n">
        <f>SUM(H61:AV61)-G61</f>
        <v>0.0</v>
      </c>
      <c r="G61" s="2" t="n">
        <v>0.0</v>
      </c>
      <c r="H61" t="str">
        <f>IF(G61/23*3&gt;0,SUM(G61/23*3),"")</f>
        <v/>
      </c>
      <c r="I61" t="str">
        <f>IF(G61/23*3&lt;0,SUM(G61/23*3),"")</f>
        <v/>
      </c>
      <c r="J61" t="str">
        <f>IF($B61=707,SUM($G61-(SUM($H61:$I61))),"")</f>
        <v/>
      </c>
      <c r="K61" t="str">
        <f>IF($B61=706,SUM($G61-(SUM($H61:$I61))),"")</f>
        <v/>
      </c>
      <c r="L61" t="str">
        <f>IF($B61=703,SUM($G61-(SUM($H61:$I61))),"")</f>
        <v/>
      </c>
      <c r="M61" t="str">
        <f>IF($B61=704,SUM($G61-(SUM($H61:$I61))),"")</f>
        <v/>
      </c>
      <c r="N61" t="str">
        <f>IF($B61=709,SUM($G61-(SUM($H61:$I61))),"")</f>
        <v/>
      </c>
      <c r="O61" t="str">
        <f>IF($B61=738,SUM($G61-(SUM($H61:$I61))),"")</f>
        <v/>
      </c>
      <c r="P61" t="str">
        <f>IF($B61=739,SUM($G61-(SUM($H61:$I61))),"")</f>
        <v/>
      </c>
      <c r="Q61" t="str">
        <f>IF($B61=714,SUM($G61-(SUM($H61:$I61))),"")</f>
        <v/>
      </c>
      <c r="R61" t="str">
        <f>IF($B61=710,SUM($G61-(SUM($H61:$I61))),"")</f>
        <v/>
      </c>
      <c r="S61" t="str">
        <f>IF($B61=711,SUM($G61-(SUM($H61:$I61))),"")</f>
        <v/>
      </c>
      <c r="T61" t="str">
        <f>IF($B61=712,SUM($G61-(SUM($H61:$I61))),"")</f>
        <v/>
      </c>
      <c r="U61" t="str">
        <f>IF($B61=713,SUM($G61-(SUM($H61:$I61))),"")</f>
        <v/>
      </c>
      <c r="V61" t="str">
        <f>IF($B61=715,SUM($G61-(SUM($H61:$I61))),"")</f>
        <v/>
      </c>
      <c r="W61" t="str">
        <f>IF($B61=724,SUM($G61-(SUM($H61:$I61))),"")</f>
        <v/>
      </c>
      <c r="X61" t="str">
        <f>IF($B61=725,SUM($G61-(SUM($H61:$I61))),"")</f>
        <v/>
      </c>
      <c r="Y61" t="str">
        <f>IF($B61=726,SUM($G61-(SUM($H61:$I61))),"")</f>
        <v/>
      </c>
      <c r="Z61" t="str">
        <f>IF($B61=727,SUM($G61-(SUM($H61:$I61))),"")</f>
        <v/>
      </c>
      <c r="AA61" t="n">
        <f>IF($B61=728,SUM($G61-(SUM($H61:$I61))),"")</f>
        <v>0.0</v>
      </c>
      <c r="AB61" t="str">
        <f>IF($B61=729,SUM($G61-(SUM($H61:$I61))),"")</f>
        <v/>
      </c>
      <c r="AC61" t="str">
        <f>IF($B61=730,SUM($G61-(SUM($H61:$I61))),"")</f>
        <v/>
      </c>
      <c r="AD61" t="str">
        <f>IF($B61=732,SUM($G61-(SUM($H61:$I61))),"")</f>
        <v/>
      </c>
      <c r="AE61" t="str">
        <f>IF($B61=733,SUM($G61-(SUM($H61:$I61))),"")</f>
        <v/>
      </c>
      <c r="AF61" t="str">
        <f>IF($B61=734,SUM($G61-(SUM($H61:$I61))),"")</f>
        <v/>
      </c>
      <c r="AG61" t="str">
        <f>IF($B61=705,SUM($G61-(SUM($H61:$I61))),"")</f>
        <v/>
      </c>
      <c r="AH61" t="str">
        <f>IF($B61=735,SUM($G61-(SUM($H61:$I61))),"")</f>
        <v/>
      </c>
      <c r="AI61" t="str">
        <f>IF($B61=736,SUM($G61-(SUM($H61:$I61))),"")</f>
        <v/>
      </c>
      <c r="AJ61" t="str">
        <f>IF($B61=737,SUM($G61-(SUM($H61:$I61))),"")</f>
        <v/>
      </c>
      <c r="AK61" t="str">
        <f>IF($B61=725,SUM($G61-(SUM($H61:$I61))),"")</f>
        <v/>
      </c>
      <c r="AL61" t="str">
        <f>IF($B61=735,SUM($G61-(SUM($H61:$I61))),"")</f>
        <v/>
      </c>
      <c r="AM61" t="str">
        <f>IF($B61=727,SUM($G61-(SUM($H61:$I61))),"")</f>
        <v/>
      </c>
      <c r="AN61" t="str">
        <f>IF($B61=718,SUM($G61-(SUM($H61:$I61))),"")</f>
        <v/>
      </c>
      <c r="AO61" t="str">
        <f>IF($B61=719,SUM($G61-(SUM($H61:$I61))),"")</f>
        <v/>
      </c>
      <c r="AP61" t="str">
        <f>IF($B61=717,SUM($G61-(SUM($H61:$I61))),"")</f>
        <v/>
      </c>
      <c r="AQ61" t="str">
        <f>IF($B61=722,SUM($G61-(SUM($H61:$I61))),"")</f>
        <v/>
      </c>
      <c r="AR61" t="str">
        <f>IF($B61=708,SUM($G61-(SUM($H61:$I61))),"")</f>
        <v/>
      </c>
      <c r="AS61" t="str">
        <f>IF($B61=701,SUM($G61-(SUM($H61:$I61))),"")</f>
        <v/>
      </c>
      <c r="AT61" t="str">
        <f>IF($B61=702,SUM($G61-(SUM($H61:$I61))),"")</f>
        <v/>
      </c>
      <c r="AU61" t="str">
        <f>IF($B61=731,SUM($G61-(SUM($H61:$I61))),"")</f>
        <v/>
      </c>
      <c r="AV61" t="str">
        <f>IF($B61=730,SUM($G61-(SUM($H61:$I61))),"")</f>
        <v/>
      </c>
    </row>
    <row r="62">
      <c r="B62" t="n" s="0">
        <v>729.0</v>
      </c>
      <c r="C62" t="s">
        <v>81</v>
      </c>
      <c r="D62" t="n">
        <f>D61+G62</f>
        <v>0.0</v>
      </c>
      <c r="F62" t="n">
        <f>SUM(H62:AV62)-G62</f>
        <v>0.0</v>
      </c>
      <c r="G62" s="2" t="n">
        <v>0.0</v>
      </c>
      <c r="H62" t="str">
        <f>IF(G62/23*3&gt;0,SUM(G62/23*3),"")</f>
        <v/>
      </c>
      <c r="I62" t="str">
        <f>IF(G62/23*3&lt;0,SUM(G62/23*3),"")</f>
        <v/>
      </c>
      <c r="J62" t="str">
        <f>IF($B62=707,SUM($G62-(SUM($H62:$I62))),"")</f>
        <v/>
      </c>
      <c r="K62" t="str">
        <f>IF($B62=706,SUM($G62-(SUM($H62:$I62))),"")</f>
        <v/>
      </c>
      <c r="L62" t="str">
        <f>IF($B62=703,SUM($G62-(SUM($H62:$I62))),"")</f>
        <v/>
      </c>
      <c r="M62" t="str">
        <f>IF($B62=704,SUM($G62-(SUM($H62:$I62))),"")</f>
        <v/>
      </c>
      <c r="N62" t="str">
        <f>IF($B62=709,SUM($G62-(SUM($H62:$I62))),"")</f>
        <v/>
      </c>
      <c r="O62" t="str">
        <f>IF($B62=738,SUM($G62-(SUM($H62:$I62))),"")</f>
        <v/>
      </c>
      <c r="P62" t="str">
        <f>IF($B62=739,SUM($G62-(SUM($H62:$I62))),"")</f>
        <v/>
      </c>
      <c r="Q62" t="str">
        <f>IF($B62=714,SUM($G62-(SUM($H62:$I62))),"")</f>
        <v/>
      </c>
      <c r="R62" t="str">
        <f>IF($B62=710,SUM($G62-(SUM($H62:$I62))),"")</f>
        <v/>
      </c>
      <c r="S62" t="str">
        <f>IF($B62=711,SUM($G62-(SUM($H62:$I62))),"")</f>
        <v/>
      </c>
      <c r="T62" t="str">
        <f>IF($B62=712,SUM($G62-(SUM($H62:$I62))),"")</f>
        <v/>
      </c>
      <c r="U62" t="str">
        <f>IF($B62=713,SUM($G62-(SUM($H62:$I62))),"")</f>
        <v/>
      </c>
      <c r="V62" t="str">
        <f>IF($B62=715,SUM($G62-(SUM($H62:$I62))),"")</f>
        <v/>
      </c>
      <c r="W62" t="str">
        <f>IF($B62=724,SUM($G62-(SUM($H62:$I62))),"")</f>
        <v/>
      </c>
      <c r="X62" t="str">
        <f>IF($B62=725,SUM($G62-(SUM($H62:$I62))),"")</f>
        <v/>
      </c>
      <c r="Y62" t="str">
        <f>IF($B62=726,SUM($G62-(SUM($H62:$I62))),"")</f>
        <v/>
      </c>
      <c r="Z62" t="str">
        <f>IF($B62=727,SUM($G62-(SUM($H62:$I62))),"")</f>
        <v/>
      </c>
      <c r="AA62" t="str">
        <f>IF($B62=728,SUM($G62-(SUM($H62:$I62))),"")</f>
        <v/>
      </c>
      <c r="AB62" t="n">
        <f>IF($B62=729,SUM($G62-(SUM($H62:$I62))),"")</f>
        <v>0.0</v>
      </c>
      <c r="AC62" t="str">
        <f>IF($B62=730,SUM($G62-(SUM($H62:$I62))),"")</f>
        <v/>
      </c>
      <c r="AD62" t="str">
        <f>IF($B62=732,SUM($G62-(SUM($H62:$I62))),"")</f>
        <v/>
      </c>
      <c r="AE62" t="str">
        <f>IF($B62=733,SUM($G62-(SUM($H62:$I62))),"")</f>
        <v/>
      </c>
      <c r="AF62" t="str">
        <f>IF($B62=734,SUM($G62-(SUM($H62:$I62))),"")</f>
        <v/>
      </c>
      <c r="AG62" t="str">
        <f>IF($B62=705,SUM($G62-(SUM($H62:$I62))),"")</f>
        <v/>
      </c>
      <c r="AH62" t="str">
        <f>IF($B62=735,SUM($G62-(SUM($H62:$I62))),"")</f>
        <v/>
      </c>
      <c r="AI62" t="str">
        <f>IF($B62=736,SUM($G62-(SUM($H62:$I62))),"")</f>
        <v/>
      </c>
      <c r="AJ62" t="str">
        <f>IF($B62=737,SUM($G62-(SUM($H62:$I62))),"")</f>
        <v/>
      </c>
      <c r="AK62" t="str">
        <f>IF($B62=725,SUM($G62-(SUM($H62:$I62))),"")</f>
        <v/>
      </c>
      <c r="AL62" t="str">
        <f>IF($B62=735,SUM($G62-(SUM($H62:$I62))),"")</f>
        <v/>
      </c>
      <c r="AM62" t="str">
        <f>IF($B62=727,SUM($G62-(SUM($H62:$I62))),"")</f>
        <v/>
      </c>
      <c r="AN62" t="str">
        <f>IF($B62=718,SUM($G62-(SUM($H62:$I62))),"")</f>
        <v/>
      </c>
      <c r="AO62" t="str">
        <f>IF($B62=719,SUM($G62-(SUM($H62:$I62))),"")</f>
        <v/>
      </c>
      <c r="AP62" t="str">
        <f>IF($B62=717,SUM($G62-(SUM($H62:$I62))),"")</f>
        <v/>
      </c>
      <c r="AQ62" t="str">
        <f>IF($B62=722,SUM($G62-(SUM($H62:$I62))),"")</f>
        <v/>
      </c>
      <c r="AR62" t="str">
        <f>IF($B62=708,SUM($G62-(SUM($H62:$I62))),"")</f>
        <v/>
      </c>
      <c r="AS62" t="str">
        <f>IF($B62=701,SUM($G62-(SUM($H62:$I62))),"")</f>
        <v/>
      </c>
      <c r="AT62" t="str">
        <f>IF($B62=702,SUM($G62-(SUM($H62:$I62))),"")</f>
        <v/>
      </c>
      <c r="AU62" t="str">
        <f>IF($B62=731,SUM($G62-(SUM($H62:$I62))),"")</f>
        <v/>
      </c>
      <c r="AV62" t="str">
        <f>IF($B62=730,SUM($G62-(SUM($H62:$I62))),"")</f>
        <v/>
      </c>
    </row>
    <row r="63">
      <c r="B63" t="n" s="0">
        <v>734.0</v>
      </c>
      <c r="C63" t="s">
        <v>75</v>
      </c>
      <c r="D63" t="n">
        <f>D62+G63</f>
        <v>0.0</v>
      </c>
      <c r="F63" t="n">
        <f>SUM(H63:AV63)-G63</f>
        <v>0.0</v>
      </c>
      <c r="G63" s="2" t="n">
        <v>0.0</v>
      </c>
      <c r="H63" t="str">
        <f>IF(G63/23*3&gt;0,SUM(G63/23*3),"")</f>
        <v/>
      </c>
      <c r="I63" t="str">
        <f>IF(G63/23*3&lt;0,SUM(G63/23*3),"")</f>
        <v/>
      </c>
      <c r="J63" t="str">
        <f>IF($B63=707,SUM($G63-(SUM($H63:$I63))),"")</f>
        <v/>
      </c>
      <c r="K63" t="str">
        <f>IF($B63=706,SUM($G63-(SUM($H63:$I63))),"")</f>
        <v/>
      </c>
      <c r="L63" t="str">
        <f>IF($B63=703,SUM($G63-(SUM($H63:$I63))),"")</f>
        <v/>
      </c>
      <c r="M63" t="str">
        <f>IF($B63=704,SUM($G63-(SUM($H63:$I63))),"")</f>
        <v/>
      </c>
      <c r="N63" t="str">
        <f>IF($B63=709,SUM($G63-(SUM($H63:$I63))),"")</f>
        <v/>
      </c>
      <c r="O63" t="str">
        <f>IF($B63=738,SUM($G63-(SUM($H63:$I63))),"")</f>
        <v/>
      </c>
      <c r="P63" t="str">
        <f>IF($B63=739,SUM($G63-(SUM($H63:$I63))),"")</f>
        <v/>
      </c>
      <c r="Q63" t="str">
        <f>IF($B63=714,SUM($G63-(SUM($H63:$I63))),"")</f>
        <v/>
      </c>
      <c r="R63" t="str">
        <f>IF($B63=710,SUM($G63-(SUM($H63:$I63))),"")</f>
        <v/>
      </c>
      <c r="S63" t="str">
        <f>IF($B63=711,SUM($G63-(SUM($H63:$I63))),"")</f>
        <v/>
      </c>
      <c r="T63" t="str">
        <f>IF($B63=712,SUM($G63-(SUM($H63:$I63))),"")</f>
        <v/>
      </c>
      <c r="U63" t="str">
        <f>IF($B63=713,SUM($G63-(SUM($H63:$I63))),"")</f>
        <v/>
      </c>
      <c r="V63" t="str">
        <f>IF($B63=715,SUM($G63-(SUM($H63:$I63))),"")</f>
        <v/>
      </c>
      <c r="W63" t="str">
        <f>IF($B63=724,SUM($G63-(SUM($H63:$I63))),"")</f>
        <v/>
      </c>
      <c r="X63" t="str">
        <f>IF($B63=725,SUM($G63-(SUM($H63:$I63))),"")</f>
        <v/>
      </c>
      <c r="Y63" t="str">
        <f>IF($B63=726,SUM($G63-(SUM($H63:$I63))),"")</f>
        <v/>
      </c>
      <c r="Z63" t="str">
        <f>IF($B63=727,SUM($G63-(SUM($H63:$I63))),"")</f>
        <v/>
      </c>
      <c r="AA63" t="str">
        <f>IF($B63=728,SUM($G63-(SUM($H63:$I63))),"")</f>
        <v/>
      </c>
      <c r="AB63" t="str">
        <f>IF($B63=729,SUM($G63-(SUM($H63:$I63))),"")</f>
        <v/>
      </c>
      <c r="AC63" t="str">
        <f>IF($B63=730,SUM($G63-(SUM($H63:$I63))),"")</f>
        <v/>
      </c>
      <c r="AD63" t="str">
        <f>IF($B63=732,SUM($G63-(SUM($H63:$I63))),"")</f>
        <v/>
      </c>
      <c r="AE63" t="str">
        <f>IF($B63=733,SUM($G63-(SUM($H63:$I63))),"")</f>
        <v/>
      </c>
      <c r="AF63" t="n">
        <f>IF($B63=734,SUM($G63-(SUM($H63:$I63))),"")</f>
        <v>0.0</v>
      </c>
      <c r="AG63" t="str">
        <f>IF($B63=705,SUM($G63-(SUM($H63:$I63))),"")</f>
        <v/>
      </c>
      <c r="AH63" t="str">
        <f>IF($B63=735,SUM($G63-(SUM($H63:$I63))),"")</f>
        <v/>
      </c>
      <c r="AI63" t="str">
        <f>IF($B63=736,SUM($G63-(SUM($H63:$I63))),"")</f>
        <v/>
      </c>
      <c r="AJ63" t="str">
        <f>IF($B63=737,SUM($G63-(SUM($H63:$I63))),"")</f>
        <v/>
      </c>
      <c r="AK63" t="str">
        <f>IF($B63=725,SUM($G63-(SUM($H63:$I63))),"")</f>
        <v/>
      </c>
      <c r="AL63" t="str">
        <f>IF($B63=735,SUM($G63-(SUM($H63:$I63))),"")</f>
        <v/>
      </c>
      <c r="AM63" t="str">
        <f>IF($B63=727,SUM($G63-(SUM($H63:$I63))),"")</f>
        <v/>
      </c>
      <c r="AN63" t="str">
        <f>IF($B63=718,SUM($G63-(SUM($H63:$I63))),"")</f>
        <v/>
      </c>
      <c r="AO63" t="str">
        <f>IF($B63=719,SUM($G63-(SUM($H63:$I63))),"")</f>
        <v/>
      </c>
      <c r="AP63" t="str">
        <f>IF($B63=717,SUM($G63-(SUM($H63:$I63))),"")</f>
        <v/>
      </c>
      <c r="AQ63" t="str">
        <f>IF($B63=722,SUM($G63-(SUM($H63:$I63))),"")</f>
        <v/>
      </c>
      <c r="AR63" t="str">
        <f>IF($B63=708,SUM($G63-(SUM($H63:$I63))),"")</f>
        <v/>
      </c>
      <c r="AS63" t="str">
        <f>IF($B63=701,SUM($G63-(SUM($H63:$I63))),"")</f>
        <v/>
      </c>
      <c r="AT63" t="str">
        <f>IF($B63=702,SUM($G63-(SUM($H63:$I63))),"")</f>
        <v/>
      </c>
      <c r="AU63" t="str">
        <f>IF($B63=731,SUM($G63-(SUM($H63:$I63))),"")</f>
        <v/>
      </c>
      <c r="AV63" t="str">
        <f>IF($B63=730,SUM($G63-(SUM($H63:$I63))),"")</f>
        <v/>
      </c>
    </row>
    <row r="64">
      <c r="B64" t="n" s="0">
        <v>734.0</v>
      </c>
      <c r="C64" t="s">
        <v>75</v>
      </c>
      <c r="D64" t="n">
        <f>D63+G64</f>
        <v>0.0</v>
      </c>
      <c r="F64" t="n">
        <f>SUM(H64:AV64)-G64</f>
        <v>0.0</v>
      </c>
      <c r="G64" s="2" t="n">
        <v>0.0</v>
      </c>
      <c r="H64" t="str">
        <f>IF(G64/23*3&gt;0,SUM(G64/23*3),"")</f>
        <v/>
      </c>
      <c r="I64" t="str">
        <f>IF(G64/23*3&lt;0,SUM(G64/23*3),"")</f>
        <v/>
      </c>
      <c r="J64" t="str">
        <f>IF($B64=707,SUM($G64-(SUM($H64:$I64))),"")</f>
        <v/>
      </c>
      <c r="K64" t="str">
        <f>IF($B64=706,SUM($G64-(SUM($H64:$I64))),"")</f>
        <v/>
      </c>
      <c r="L64" t="str">
        <f>IF($B64=703,SUM($G64-(SUM($H64:$I64))),"")</f>
        <v/>
      </c>
      <c r="M64" t="str">
        <f>IF($B64=704,SUM($G64-(SUM($H64:$I64))),"")</f>
        <v/>
      </c>
      <c r="N64" t="str">
        <f>IF($B64=709,SUM($G64-(SUM($H64:$I64))),"")</f>
        <v/>
      </c>
      <c r="O64" t="str">
        <f>IF($B64=738,SUM($G64-(SUM($H64:$I64))),"")</f>
        <v/>
      </c>
      <c r="P64" t="str">
        <f>IF($B64=739,SUM($G64-(SUM($H64:$I64))),"")</f>
        <v/>
      </c>
      <c r="Q64" t="str">
        <f>IF($B64=714,SUM($G64-(SUM($H64:$I64))),"")</f>
        <v/>
      </c>
      <c r="R64" t="str">
        <f>IF($B64=710,SUM($G64-(SUM($H64:$I64))),"")</f>
        <v/>
      </c>
      <c r="S64" t="str">
        <f>IF($B64=711,SUM($G64-(SUM($H64:$I64))),"")</f>
        <v/>
      </c>
      <c r="T64" t="str">
        <f>IF($B64=712,SUM($G64-(SUM($H64:$I64))),"")</f>
        <v/>
      </c>
      <c r="U64" t="str">
        <f>IF($B64=713,SUM($G64-(SUM($H64:$I64))),"")</f>
        <v/>
      </c>
      <c r="V64" t="str">
        <f>IF($B64=715,SUM($G64-(SUM($H64:$I64))),"")</f>
        <v/>
      </c>
      <c r="W64" t="str">
        <f>IF($B64=724,SUM($G64-(SUM($H64:$I64))),"")</f>
        <v/>
      </c>
      <c r="X64" t="str">
        <f>IF($B64=725,SUM($G64-(SUM($H64:$I64))),"")</f>
        <v/>
      </c>
      <c r="Y64" t="str">
        <f>IF($B64=726,SUM($G64-(SUM($H64:$I64))),"")</f>
        <v/>
      </c>
      <c r="Z64" t="str">
        <f>IF($B64=727,SUM($G64-(SUM($H64:$I64))),"")</f>
        <v/>
      </c>
      <c r="AA64" t="str">
        <f>IF($B64=728,SUM($G64-(SUM($H64:$I64))),"")</f>
        <v/>
      </c>
      <c r="AB64" t="str">
        <f>IF($B64=729,SUM($G64-(SUM($H64:$I64))),"")</f>
        <v/>
      </c>
      <c r="AC64" t="str">
        <f>IF($B64=730,SUM($G64-(SUM($H64:$I64))),"")</f>
        <v/>
      </c>
      <c r="AD64" t="str">
        <f>IF($B64=732,SUM($G64-(SUM($H64:$I64))),"")</f>
        <v/>
      </c>
      <c r="AE64" t="str">
        <f>IF($B64=733,SUM($G64-(SUM($H64:$I64))),"")</f>
        <v/>
      </c>
      <c r="AF64" t="n">
        <f>IF($B64=734,SUM($G64-(SUM($H64:$I64))),"")</f>
        <v>0.0</v>
      </c>
      <c r="AG64" t="str">
        <f>IF($B64=705,SUM($G64-(SUM($H64:$I64))),"")</f>
        <v/>
      </c>
      <c r="AH64" t="str">
        <f>IF($B64=735,SUM($G64-(SUM($H64:$I64))),"")</f>
        <v/>
      </c>
      <c r="AI64" t="str">
        <f>IF($B64=736,SUM($G64-(SUM($H64:$I64))),"")</f>
        <v/>
      </c>
      <c r="AJ64" t="str">
        <f>IF($B64=737,SUM($G64-(SUM($H64:$I64))),"")</f>
        <v/>
      </c>
      <c r="AK64" t="str">
        <f>IF($B64=725,SUM($G64-(SUM($H64:$I64))),"")</f>
        <v/>
      </c>
      <c r="AL64" t="str">
        <f>IF($B64=735,SUM($G64-(SUM($H64:$I64))),"")</f>
        <v/>
      </c>
      <c r="AM64" t="str">
        <f>IF($B64=727,SUM($G64-(SUM($H64:$I64))),"")</f>
        <v/>
      </c>
      <c r="AN64" t="str">
        <f>IF($B64=718,SUM($G64-(SUM($H64:$I64))),"")</f>
        <v/>
      </c>
      <c r="AO64" t="str">
        <f>IF($B64=719,SUM($G64-(SUM($H64:$I64))),"")</f>
        <v/>
      </c>
      <c r="AP64" t="str">
        <f>IF($B64=717,SUM($G64-(SUM($H64:$I64))),"")</f>
        <v/>
      </c>
      <c r="AQ64" t="str">
        <f>IF($B64=722,SUM($G64-(SUM($H64:$I64))),"")</f>
        <v/>
      </c>
      <c r="AR64" t="str">
        <f>IF($B64=708,SUM($G64-(SUM($H64:$I64))),"")</f>
        <v/>
      </c>
      <c r="AS64" t="str">
        <f>IF($B64=701,SUM($G64-(SUM($H64:$I64))),"")</f>
        <v/>
      </c>
      <c r="AT64" t="str">
        <f>IF($B64=702,SUM($G64-(SUM($H64:$I64))),"")</f>
        <v/>
      </c>
      <c r="AU64" t="str">
        <f>IF($B64=731,SUM($G64-(SUM($H64:$I64))),"")</f>
        <v/>
      </c>
      <c r="AV64" t="str">
        <f>IF($B64=730,SUM($G64-(SUM($H64:$I64))),"")</f>
        <v/>
      </c>
    </row>
    <row r="65">
      <c r="B65" t="n" s="0">
        <v>734.0</v>
      </c>
      <c r="C65" t="s">
        <v>75</v>
      </c>
      <c r="D65" t="n">
        <f>D64+G65</f>
        <v>0.0</v>
      </c>
      <c r="F65" t="n">
        <f>SUM(H65:AV65)-G65</f>
        <v>0.0</v>
      </c>
      <c r="G65" s="2" t="n">
        <v>0.0</v>
      </c>
      <c r="H65" t="str">
        <f>IF(G65/23*3&gt;0,SUM(G65/23*3),"")</f>
        <v/>
      </c>
      <c r="I65" t="str">
        <f>IF(G65/23*3&lt;0,SUM(G65/23*3),"")</f>
        <v/>
      </c>
      <c r="J65" t="str">
        <f>IF($B65=707,SUM($G65-(SUM($H65:$I65))),"")</f>
        <v/>
      </c>
      <c r="K65" t="str">
        <f>IF($B65=706,SUM($G65-(SUM($H65:$I65))),"")</f>
        <v/>
      </c>
      <c r="L65" t="str">
        <f>IF($B65=703,SUM($G65-(SUM($H65:$I65))),"")</f>
        <v/>
      </c>
      <c r="M65" t="str">
        <f>IF($B65=704,SUM($G65-(SUM($H65:$I65))),"")</f>
        <v/>
      </c>
      <c r="N65" t="str">
        <f>IF($B65=709,SUM($G65-(SUM($H65:$I65))),"")</f>
        <v/>
      </c>
      <c r="O65" t="str">
        <f>IF($B65=738,SUM($G65-(SUM($H65:$I65))),"")</f>
        <v/>
      </c>
      <c r="P65" t="str">
        <f>IF($B65=739,SUM($G65-(SUM($H65:$I65))),"")</f>
        <v/>
      </c>
      <c r="Q65" t="str">
        <f>IF($B65=714,SUM($G65-(SUM($H65:$I65))),"")</f>
        <v/>
      </c>
      <c r="R65" t="str">
        <f>IF($B65=710,SUM($G65-(SUM($H65:$I65))),"")</f>
        <v/>
      </c>
      <c r="S65" t="str">
        <f>IF($B65=711,SUM($G65-(SUM($H65:$I65))),"")</f>
        <v/>
      </c>
      <c r="T65" t="str">
        <f>IF($B65=712,SUM($G65-(SUM($H65:$I65))),"")</f>
        <v/>
      </c>
      <c r="U65" t="str">
        <f>IF($B65=713,SUM($G65-(SUM($H65:$I65))),"")</f>
        <v/>
      </c>
      <c r="V65" t="str">
        <f>IF($B65=715,SUM($G65-(SUM($H65:$I65))),"")</f>
        <v/>
      </c>
      <c r="W65" t="str">
        <f>IF($B65=724,SUM($G65-(SUM($H65:$I65))),"")</f>
        <v/>
      </c>
      <c r="X65" t="str">
        <f>IF($B65=725,SUM($G65-(SUM($H65:$I65))),"")</f>
        <v/>
      </c>
      <c r="Y65" t="str">
        <f>IF($B65=726,SUM($G65-(SUM($H65:$I65))),"")</f>
        <v/>
      </c>
      <c r="Z65" t="str">
        <f>IF($B65=727,SUM($G65-(SUM($H65:$I65))),"")</f>
        <v/>
      </c>
      <c r="AA65" t="str">
        <f>IF($B65=728,SUM($G65-(SUM($H65:$I65))),"")</f>
        <v/>
      </c>
      <c r="AB65" t="str">
        <f>IF($B65=729,SUM($G65-(SUM($H65:$I65))),"")</f>
        <v/>
      </c>
      <c r="AC65" t="str">
        <f>IF($B65=730,SUM($G65-(SUM($H65:$I65))),"")</f>
        <v/>
      </c>
      <c r="AD65" t="str">
        <f>IF($B65=732,SUM($G65-(SUM($H65:$I65))),"")</f>
        <v/>
      </c>
      <c r="AE65" t="str">
        <f>IF($B65=733,SUM($G65-(SUM($H65:$I65))),"")</f>
        <v/>
      </c>
      <c r="AF65" t="n">
        <f>IF($B65=734,SUM($G65-(SUM($H65:$I65))),"")</f>
        <v>0.0</v>
      </c>
      <c r="AG65" t="str">
        <f>IF($B65=705,SUM($G65-(SUM($H65:$I65))),"")</f>
        <v/>
      </c>
      <c r="AH65" t="str">
        <f>IF($B65=735,SUM($G65-(SUM($H65:$I65))),"")</f>
        <v/>
      </c>
      <c r="AI65" t="str">
        <f>IF($B65=736,SUM($G65-(SUM($H65:$I65))),"")</f>
        <v/>
      </c>
      <c r="AJ65" t="str">
        <f>IF($B65=737,SUM($G65-(SUM($H65:$I65))),"")</f>
        <v/>
      </c>
      <c r="AK65" t="str">
        <f>IF($B65=725,SUM($G65-(SUM($H65:$I65))),"")</f>
        <v/>
      </c>
      <c r="AL65" t="str">
        <f>IF($B65=735,SUM($G65-(SUM($H65:$I65))),"")</f>
        <v/>
      </c>
      <c r="AM65" t="str">
        <f>IF($B65=727,SUM($G65-(SUM($H65:$I65))),"")</f>
        <v/>
      </c>
      <c r="AN65" t="str">
        <f>IF($B65=718,SUM($G65-(SUM($H65:$I65))),"")</f>
        <v/>
      </c>
      <c r="AO65" t="str">
        <f>IF($B65=719,SUM($G65-(SUM($H65:$I65))),"")</f>
        <v/>
      </c>
      <c r="AP65" t="str">
        <f>IF($B65=717,SUM($G65-(SUM($H65:$I65))),"")</f>
        <v/>
      </c>
      <c r="AQ65" t="str">
        <f>IF($B65=722,SUM($G65-(SUM($H65:$I65))),"")</f>
        <v/>
      </c>
      <c r="AR65" t="str">
        <f>IF($B65=708,SUM($G65-(SUM($H65:$I65))),"")</f>
        <v/>
      </c>
      <c r="AS65" t="str">
        <f>IF($B65=701,SUM($G65-(SUM($H65:$I65))),"")</f>
        <v/>
      </c>
      <c r="AT65" t="str">
        <f>IF($B65=702,SUM($G65-(SUM($H65:$I65))),"")</f>
        <v/>
      </c>
      <c r="AU65" t="str">
        <f>IF($B65=731,SUM($G65-(SUM($H65:$I65))),"")</f>
        <v/>
      </c>
      <c r="AV65" t="str">
        <f>IF($B65=730,SUM($G65-(SUM($H65:$I65))),"")</f>
        <v/>
      </c>
    </row>
    <row r="66">
      <c r="B66" t="n" s="0">
        <v>734.0</v>
      </c>
      <c r="C66" t="s">
        <v>75</v>
      </c>
      <c r="D66" t="n">
        <f>D65+G66</f>
        <v>0.0</v>
      </c>
      <c r="F66" t="n">
        <f>SUM(H66:AV66)-G66</f>
        <v>0.0</v>
      </c>
      <c r="G66" s="2" t="n">
        <v>0.0</v>
      </c>
      <c r="H66" t="str">
        <f>IF(G66/23*3&gt;0,SUM(G66/23*3),"")</f>
        <v/>
      </c>
      <c r="I66" t="str">
        <f>IF(G66/23*3&lt;0,SUM(G66/23*3),"")</f>
        <v/>
      </c>
      <c r="J66" t="str">
        <f>IF($B66=707,SUM($G66-(SUM($H66:$I66))),"")</f>
        <v/>
      </c>
      <c r="K66" t="str">
        <f>IF($B66=706,SUM($G66-(SUM($H66:$I66))),"")</f>
        <v/>
      </c>
      <c r="L66" t="str">
        <f>IF($B66=703,SUM($G66-(SUM($H66:$I66))),"")</f>
        <v/>
      </c>
      <c r="M66" t="str">
        <f>IF($B66=704,SUM($G66-(SUM($H66:$I66))),"")</f>
        <v/>
      </c>
      <c r="N66" t="str">
        <f>IF($B66=709,SUM($G66-(SUM($H66:$I66))),"")</f>
        <v/>
      </c>
      <c r="O66" t="str">
        <f>IF($B66=738,SUM($G66-(SUM($H66:$I66))),"")</f>
        <v/>
      </c>
      <c r="P66" t="str">
        <f>IF($B66=739,SUM($G66-(SUM($H66:$I66))),"")</f>
        <v/>
      </c>
      <c r="Q66" t="str">
        <f>IF($B66=714,SUM($G66-(SUM($H66:$I66))),"")</f>
        <v/>
      </c>
      <c r="R66" t="str">
        <f>IF($B66=710,SUM($G66-(SUM($H66:$I66))),"")</f>
        <v/>
      </c>
      <c r="S66" t="str">
        <f>IF($B66=711,SUM($G66-(SUM($H66:$I66))),"")</f>
        <v/>
      </c>
      <c r="T66" t="str">
        <f>IF($B66=712,SUM($G66-(SUM($H66:$I66))),"")</f>
        <v/>
      </c>
      <c r="U66" t="str">
        <f>IF($B66=713,SUM($G66-(SUM($H66:$I66))),"")</f>
        <v/>
      </c>
      <c r="V66" t="str">
        <f>IF($B66=715,SUM($G66-(SUM($H66:$I66))),"")</f>
        <v/>
      </c>
      <c r="W66" t="str">
        <f>IF($B66=724,SUM($G66-(SUM($H66:$I66))),"")</f>
        <v/>
      </c>
      <c r="X66" t="str">
        <f>IF($B66=725,SUM($G66-(SUM($H66:$I66))),"")</f>
        <v/>
      </c>
      <c r="Y66" t="str">
        <f>IF($B66=726,SUM($G66-(SUM($H66:$I66))),"")</f>
        <v/>
      </c>
      <c r="Z66" t="str">
        <f>IF($B66=727,SUM($G66-(SUM($H66:$I66))),"")</f>
        <v/>
      </c>
      <c r="AA66" t="str">
        <f>IF($B66=728,SUM($G66-(SUM($H66:$I66))),"")</f>
        <v/>
      </c>
      <c r="AB66" t="str">
        <f>IF($B66=729,SUM($G66-(SUM($H66:$I66))),"")</f>
        <v/>
      </c>
      <c r="AC66" t="str">
        <f>IF($B66=730,SUM($G66-(SUM($H66:$I66))),"")</f>
        <v/>
      </c>
      <c r="AD66" t="str">
        <f>IF($B66=732,SUM($G66-(SUM($H66:$I66))),"")</f>
        <v/>
      </c>
      <c r="AE66" t="str">
        <f>IF($B66=733,SUM($G66-(SUM($H66:$I66))),"")</f>
        <v/>
      </c>
      <c r="AF66" t="n">
        <f>IF($B66=734,SUM($G66-(SUM($H66:$I66))),"")</f>
        <v>0.0</v>
      </c>
      <c r="AG66" t="str">
        <f>IF($B66=705,SUM($G66-(SUM($H66:$I66))),"")</f>
        <v/>
      </c>
      <c r="AH66" t="str">
        <f>IF($B66=735,SUM($G66-(SUM($H66:$I66))),"")</f>
        <v/>
      </c>
      <c r="AI66" t="str">
        <f>IF($B66=736,SUM($G66-(SUM($H66:$I66))),"")</f>
        <v/>
      </c>
      <c r="AJ66" t="str">
        <f>IF($B66=737,SUM($G66-(SUM($H66:$I66))),"")</f>
        <v/>
      </c>
      <c r="AK66" t="str">
        <f>IF($B66=725,SUM($G66-(SUM($H66:$I66))),"")</f>
        <v/>
      </c>
      <c r="AL66" t="str">
        <f>IF($B66=735,SUM($G66-(SUM($H66:$I66))),"")</f>
        <v/>
      </c>
      <c r="AM66" t="str">
        <f>IF($B66=727,SUM($G66-(SUM($H66:$I66))),"")</f>
        <v/>
      </c>
      <c r="AN66" t="str">
        <f>IF($B66=718,SUM($G66-(SUM($H66:$I66))),"")</f>
        <v/>
      </c>
      <c r="AO66" t="str">
        <f>IF($B66=719,SUM($G66-(SUM($H66:$I66))),"")</f>
        <v/>
      </c>
      <c r="AP66" t="str">
        <f>IF($B66=717,SUM($G66-(SUM($H66:$I66))),"")</f>
        <v/>
      </c>
      <c r="AQ66" t="str">
        <f>IF($B66=722,SUM($G66-(SUM($H66:$I66))),"")</f>
        <v/>
      </c>
      <c r="AR66" t="str">
        <f>IF($B66=708,SUM($G66-(SUM($H66:$I66))),"")</f>
        <v/>
      </c>
      <c r="AS66" t="str">
        <f>IF($B66=701,SUM($G66-(SUM($H66:$I66))),"")</f>
        <v/>
      </c>
      <c r="AT66" t="str">
        <f>IF($B66=702,SUM($G66-(SUM($H66:$I66))),"")</f>
        <v/>
      </c>
      <c r="AU66" t="str">
        <f>IF($B66=731,SUM($G66-(SUM($H66:$I66))),"")</f>
        <v/>
      </c>
      <c r="AV66" t="str">
        <f>IF($B66=730,SUM($G66-(SUM($H66:$I66))),"")</f>
        <v/>
      </c>
    </row>
    <row r="67">
      <c r="B67" t="n" s="0">
        <v>710.0</v>
      </c>
      <c r="C67" t="s">
        <v>61</v>
      </c>
      <c r="D67" t="n">
        <f>D66+G67</f>
        <v>0.0</v>
      </c>
      <c r="F67" t="n">
        <f>SUM(H67:AV67)-G67</f>
        <v>0.0</v>
      </c>
      <c r="G67" s="2" t="n">
        <v>0.0</v>
      </c>
      <c r="H67" t="str">
        <f>IF(G67/23*3&gt;0,SUM(G67/23*3),"")</f>
        <v/>
      </c>
      <c r="J67" t="str">
        <f>IF($B67=707,SUM($G67-(SUM($H67:$I67))),"")</f>
        <v/>
      </c>
      <c r="K67" t="str">
        <f>IF($B67=706,SUM($G67-(SUM($H67:$I67))),"")</f>
        <v/>
      </c>
      <c r="L67" t="str">
        <f>IF($B67=703,SUM($G67-(SUM($H67:$I67))),"")</f>
        <v/>
      </c>
      <c r="M67" t="str">
        <f>IF($B67=704,SUM($G67-(SUM($H67:$I67))),"")</f>
        <v/>
      </c>
      <c r="N67" t="str">
        <f>IF($B67=709,SUM($G67-(SUM($H67:$I67))),"")</f>
        <v/>
      </c>
      <c r="O67" t="str">
        <f>IF($B67=738,SUM($G67-(SUM($H67:$I67))),"")</f>
        <v/>
      </c>
      <c r="P67" t="str">
        <f>IF($B67=739,SUM($G67-(SUM($H67:$I67))),"")</f>
        <v/>
      </c>
      <c r="Q67" t="str">
        <f>IF($B67=714,SUM($G67-(SUM($H67:$I67))),"")</f>
        <v/>
      </c>
      <c r="R67" t="n">
        <f>IF($B67=710,SUM($G67-(SUM($H67:$I67))),"")</f>
        <v>0.0</v>
      </c>
      <c r="S67" t="str">
        <f>IF($B67=711,SUM($G67-(SUM($H67:$I67))),"")</f>
        <v/>
      </c>
      <c r="T67" t="str">
        <f>IF($B67=712,SUM($G67-(SUM($H67:$I67))),"")</f>
        <v/>
      </c>
      <c r="U67" t="str">
        <f>IF($B67=713,SUM($G67-(SUM($H67:$I67))),"")</f>
        <v/>
      </c>
      <c r="V67" t="str">
        <f>IF($B67=715,SUM($G67-(SUM($H67:$I67))),"")</f>
        <v/>
      </c>
      <c r="W67" t="str">
        <f>IF($B67=724,SUM($G67-(SUM($H67:$I67))),"")</f>
        <v/>
      </c>
      <c r="X67" t="str">
        <f>IF($B67=725,SUM($G67-(SUM($H67:$I67))),"")</f>
        <v/>
      </c>
      <c r="Y67" t="str">
        <f>IF($B67=726,SUM($G67-(SUM($H67:$I67))),"")</f>
        <v/>
      </c>
      <c r="Z67" t="str">
        <f>IF($B67=727,SUM($G67-(SUM($H67:$I67))),"")</f>
        <v/>
      </c>
      <c r="AA67" t="str">
        <f>IF($B67=728,SUM($G67-(SUM($H67:$I67))),"")</f>
        <v/>
      </c>
      <c r="AB67" t="str">
        <f>IF($B67=729,SUM($G67-(SUM($H67:$I67))),"")</f>
        <v/>
      </c>
      <c r="AC67" t="str">
        <f>IF($B67=730,SUM($G67-(SUM($H67:$I67))),"")</f>
        <v/>
      </c>
      <c r="AD67" t="str">
        <f>IF($B67=732,SUM($G67-(SUM($H67:$I67))),"")</f>
        <v/>
      </c>
      <c r="AE67" t="str">
        <f>IF($B67=733,SUM($G67-(SUM($H67:$I67))),"")</f>
        <v/>
      </c>
      <c r="AF67" t="str">
        <f>IF($B67=734,SUM($G67-(SUM($H67:$I67))),"")</f>
        <v/>
      </c>
      <c r="AG67" t="str">
        <f>IF($B67=705,SUM($G67-(SUM($H67:$I67))),"")</f>
        <v/>
      </c>
      <c r="AH67" t="str">
        <f>IF($B67=735,SUM($G67-(SUM($H67:$I67))),"")</f>
        <v/>
      </c>
      <c r="AI67" t="str">
        <f>IF($B67=736,SUM($G67-(SUM($H67:$I67))),"")</f>
        <v/>
      </c>
      <c r="AJ67" t="str">
        <f>IF($B67=737,SUM($G67-(SUM($H67:$I67))),"")</f>
        <v/>
      </c>
      <c r="AK67" t="str">
        <f>IF($B67=725,SUM($G67-(SUM($H67:$I67))),"")</f>
        <v/>
      </c>
      <c r="AL67" t="str">
        <f>IF($B67=735,SUM($G67-(SUM($H67:$I67))),"")</f>
        <v/>
      </c>
      <c r="AM67" t="str">
        <f>IF($B67=727,SUM($G67-(SUM($H67:$I67))),"")</f>
        <v/>
      </c>
      <c r="AN67" t="str">
        <f>IF($B67=718,SUM($G67-(SUM($H67:$I67))),"")</f>
        <v/>
      </c>
      <c r="AO67" t="str">
        <f>IF($B67=719,SUM($G67-(SUM($H67:$I67))),"")</f>
        <v/>
      </c>
      <c r="AP67" t="str">
        <f>IF($B67=717,SUM($G67-(SUM($H67:$I67))),"")</f>
        <v/>
      </c>
      <c r="AQ67" t="str">
        <f>IF($B67=722,SUM($G67-(SUM($H67:$I67))),"")</f>
        <v/>
      </c>
      <c r="AR67" t="str">
        <f>IF($B67=708,SUM($G67-(SUM($H67:$I67))),"")</f>
        <v/>
      </c>
      <c r="AS67" t="str">
        <f>IF($B67=701,SUM($G67-(SUM($H67:$I67))),"")</f>
        <v/>
      </c>
      <c r="AT67" t="str">
        <f>IF($B67=702,SUM($G67-(SUM($H67:$I67))),"")</f>
        <v/>
      </c>
      <c r="AU67" t="str">
        <f>IF($B67=731,SUM($G67-(SUM($H67:$I67))),"")</f>
        <v/>
      </c>
      <c r="AV67" t="str">
        <f>IF($B67=730,SUM($G67-(SUM($H67:$I67))),"")</f>
        <v/>
      </c>
    </row>
    <row r="68">
      <c r="B68" t="n" s="0">
        <v>739.0</v>
      </c>
      <c r="C68" t="s">
        <v>84</v>
      </c>
      <c r="D68" t="n">
        <f>D67+G68</f>
        <v>0.0</v>
      </c>
      <c r="F68" t="n">
        <f>SUM(H68:AV68)-G68</f>
        <v>0.0</v>
      </c>
      <c r="G68" s="2" t="n">
        <v>0.0</v>
      </c>
      <c r="H68" t="str">
        <f>IF(G68/23*3&gt;0,SUM(G68/23*3),"")</f>
        <v/>
      </c>
      <c r="I68" t="n">
        <v>0.0</v>
      </c>
      <c r="J68" t="str">
        <f>IF($B68=707,SUM($G68-(SUM($H68:$I68))),"")</f>
        <v/>
      </c>
      <c r="K68" t="str">
        <f>IF($B68=706,SUM($G68-(SUM($H68:$I68))),"")</f>
        <v/>
      </c>
      <c r="L68" t="str">
        <f>IF($B68=703,SUM($G68-(SUM($H68:$I68))),"")</f>
        <v/>
      </c>
      <c r="M68" t="str">
        <f>IF($B68=704,SUM($G68-(SUM($H68:$I68))),"")</f>
        <v/>
      </c>
      <c r="N68" t="str">
        <f>IF($B68=709,SUM($G68-(SUM($H68:$I68))),"")</f>
        <v/>
      </c>
      <c r="O68" t="str">
        <f>IF($B68=738,SUM($G68-(SUM($H68:$I68))),"")</f>
        <v/>
      </c>
      <c r="P68" t="n">
        <f>IF($B68=739,SUM($G68-(SUM($H68:$I68))),"")</f>
        <v>0.0</v>
      </c>
      <c r="Q68" t="str">
        <f>IF($B68=714,SUM($G68-(SUM($H68:$I68))),"")</f>
        <v/>
      </c>
      <c r="R68" t="str">
        <f>IF($B68=710,SUM($G68-(SUM($H68:$I68))),"")</f>
        <v/>
      </c>
      <c r="S68" t="str">
        <f>IF($B68=711,SUM($G68-(SUM($H68:$I68))),"")</f>
        <v/>
      </c>
      <c r="T68" t="str">
        <f>IF($B68=712,SUM($G68-(SUM($H68:$I68))),"")</f>
        <v/>
      </c>
      <c r="U68" t="str">
        <f>IF($B68=713,SUM($G68-(SUM($H68:$I68))),"")</f>
        <v/>
      </c>
      <c r="V68" t="str">
        <f>IF($B68=715,SUM($G68-(SUM($H68:$I68))),"")</f>
        <v/>
      </c>
      <c r="W68" t="str">
        <f>IF($B68=724,SUM($G68-(SUM($H68:$I68))),"")</f>
        <v/>
      </c>
      <c r="X68" t="str">
        <f>IF($B68=725,SUM($G68-(SUM($H68:$I68))),"")</f>
        <v/>
      </c>
      <c r="Y68" t="str">
        <f>IF($B68=726,SUM($G68-(SUM($H68:$I68))),"")</f>
        <v/>
      </c>
      <c r="Z68" t="str">
        <f>IF($B68=727,SUM($G68-(SUM($H68:$I68))),"")</f>
        <v/>
      </c>
      <c r="AA68" t="str">
        <f>IF($B68=728,SUM($G68-(SUM($H68:$I68))),"")</f>
        <v/>
      </c>
      <c r="AB68" t="str">
        <f>IF($B68=729,SUM($G68-(SUM($H68:$I68))),"")</f>
        <v/>
      </c>
      <c r="AC68" t="str">
        <f>IF($B68=730,SUM($G68-(SUM($H68:$I68))),"")</f>
        <v/>
      </c>
      <c r="AD68" t="str">
        <f>IF($B68=732,SUM($G68-(SUM($H68:$I68))),"")</f>
        <v/>
      </c>
      <c r="AE68" t="str">
        <f>IF($B68=733,SUM($G68-(SUM($H68:$I68))),"")</f>
        <v/>
      </c>
      <c r="AF68" t="str">
        <f>IF($B68=734,SUM($G68-(SUM($H68:$I68))),"")</f>
        <v/>
      </c>
      <c r="AG68" t="str">
        <f>IF($B68=705,SUM($G68-(SUM($H68:$I68))),"")</f>
        <v/>
      </c>
      <c r="AH68" t="str">
        <f>IF($B68=735,SUM($G68-(SUM($H68:$I68))),"")</f>
        <v/>
      </c>
      <c r="AI68" t="str">
        <f>IF($B68=736,SUM($G68-(SUM($H68:$I68))),"")</f>
        <v/>
      </c>
      <c r="AJ68" t="str">
        <f>IF($B68=737,SUM($G68-(SUM($H68:$I68))),"")</f>
        <v/>
      </c>
      <c r="AK68" t="str">
        <f>IF($B68=725,SUM($G68-(SUM($H68:$I68))),"")</f>
        <v/>
      </c>
      <c r="AL68" t="str">
        <f>IF($B68=735,SUM($G68-(SUM($H68:$I68))),"")</f>
        <v/>
      </c>
      <c r="AM68" t="str">
        <f>IF($B68=727,SUM($G68-(SUM($H68:$I68))),"")</f>
        <v/>
      </c>
      <c r="AN68" t="str">
        <f>IF($B68=718,SUM($G68-(SUM($H68:$I68))),"")</f>
        <v/>
      </c>
      <c r="AO68" t="str">
        <f>IF($B68=719,SUM($G68-(SUM($H68:$I68))),"")</f>
        <v/>
      </c>
      <c r="AP68" t="str">
        <f>IF($B68=717,SUM($G68-(SUM($H68:$I68))),"")</f>
        <v/>
      </c>
      <c r="AQ68" t="str">
        <f>IF($B68=722,SUM($G68-(SUM($H68:$I68))),"")</f>
        <v/>
      </c>
      <c r="AR68" t="str">
        <f>IF($B68=708,SUM($G68-(SUM($H68:$I68))),"")</f>
        <v/>
      </c>
      <c r="AS68" t="str">
        <f>IF($B68=701,SUM($G68-(SUM($H68:$I68))),"")</f>
        <v/>
      </c>
      <c r="AT68" t="str">
        <f>IF($B68=702,SUM($G68-(SUM($H68:$I68))),"")</f>
        <v/>
      </c>
      <c r="AU68" t="str">
        <f>IF($B68=731,SUM($G68-(SUM($H68:$I68))),"")</f>
        <v/>
      </c>
      <c r="AV68" t="str">
        <f>IF($B68=730,SUM($G68-(SUM($H68:$I68))),"")</f>
        <v/>
      </c>
    </row>
    <row r="69">
      <c r="B69" t="n" s="0">
        <v>739.0</v>
      </c>
      <c r="C69" t="s">
        <v>84</v>
      </c>
      <c r="D69" t="n">
        <f>D68+G69</f>
        <v>0.0</v>
      </c>
      <c r="F69" t="n">
        <f>SUM(H69:AV69)-G69</f>
        <v>0.0</v>
      </c>
      <c r="G69" s="2" t="n">
        <v>0.0</v>
      </c>
      <c r="H69" t="str">
        <f>IF(G69/23*3&gt;0,SUM(G69/23*3),"")</f>
        <v/>
      </c>
      <c r="I69" t="n">
        <v>0.0</v>
      </c>
      <c r="J69" t="str">
        <f>IF($B69=707,SUM($G69-(SUM($H69:$I69))),"")</f>
        <v/>
      </c>
      <c r="K69" t="str">
        <f>IF($B69=706,SUM($G69-(SUM($H69:$I69))),"")</f>
        <v/>
      </c>
      <c r="L69" t="str">
        <f>IF($B69=703,SUM($G69-(SUM($H69:$I69))),"")</f>
        <v/>
      </c>
      <c r="M69" t="str">
        <f>IF($B69=704,SUM($G69-(SUM($H69:$I69))),"")</f>
        <v/>
      </c>
      <c r="N69" t="str">
        <f>IF($B69=709,SUM($G69-(SUM($H69:$I69))),"")</f>
        <v/>
      </c>
      <c r="O69" t="str">
        <f>IF($B69=738,SUM($G69-(SUM($H69:$I69))),"")</f>
        <v/>
      </c>
      <c r="P69" t="n">
        <f>IF($B69=739,SUM($G69-(SUM($H69:$I69))),"")</f>
        <v>0.0</v>
      </c>
      <c r="Q69" t="str">
        <f>IF($B69=714,SUM($G69-(SUM($H69:$I69))),"")</f>
        <v/>
      </c>
      <c r="R69" t="str">
        <f>IF($B69=710,SUM($G69-(SUM($H69:$I69))),"")</f>
        <v/>
      </c>
      <c r="S69" t="str">
        <f>IF($B69=711,SUM($G69-(SUM($H69:$I69))),"")</f>
        <v/>
      </c>
      <c r="T69" t="str">
        <f>IF($B69=712,SUM($G69-(SUM($H69:$I69))),"")</f>
        <v/>
      </c>
      <c r="U69" t="str">
        <f>IF($B69=713,SUM($G69-(SUM($H69:$I69))),"")</f>
        <v/>
      </c>
      <c r="V69" t="str">
        <f>IF($B69=715,SUM($G69-(SUM($H69:$I69))),"")</f>
        <v/>
      </c>
      <c r="W69" t="str">
        <f>IF($B69=724,SUM($G69-(SUM($H69:$I69))),"")</f>
        <v/>
      </c>
      <c r="X69" t="str">
        <f>IF($B69=725,SUM($G69-(SUM($H69:$I69))),"")</f>
        <v/>
      </c>
      <c r="Y69" t="str">
        <f>IF($B69=726,SUM($G69-(SUM($H69:$I69))),"")</f>
        <v/>
      </c>
      <c r="Z69" t="str">
        <f>IF($B69=727,SUM($G69-(SUM($H69:$I69))),"")</f>
        <v/>
      </c>
      <c r="AA69" t="str">
        <f>IF($B69=728,SUM($G69-(SUM($H69:$I69))),"")</f>
        <v/>
      </c>
      <c r="AB69" t="str">
        <f>IF($B69=729,SUM($G69-(SUM($H69:$I69))),"")</f>
        <v/>
      </c>
      <c r="AC69" t="str">
        <f>IF($B69=730,SUM($G69-(SUM($H69:$I69))),"")</f>
        <v/>
      </c>
      <c r="AD69" t="str">
        <f>IF($B69=732,SUM($G69-(SUM($H69:$I69))),"")</f>
        <v/>
      </c>
      <c r="AE69" t="str">
        <f>IF($B69=733,SUM($G69-(SUM($H69:$I69))),"")</f>
        <v/>
      </c>
      <c r="AF69" t="str">
        <f>IF($B69=734,SUM($G69-(SUM($H69:$I69))),"")</f>
        <v/>
      </c>
      <c r="AG69" t="str">
        <f>IF($B69=705,SUM($G69-(SUM($H69:$I69))),"")</f>
        <v/>
      </c>
      <c r="AH69" t="str">
        <f>IF($B69=735,SUM($G69-(SUM($H69:$I69))),"")</f>
        <v/>
      </c>
      <c r="AI69" t="str">
        <f>IF($B69=736,SUM($G69-(SUM($H69:$I69))),"")</f>
        <v/>
      </c>
      <c r="AJ69" t="str">
        <f>IF($B69=737,SUM($G69-(SUM($H69:$I69))),"")</f>
        <v/>
      </c>
      <c r="AK69" t="str">
        <f>IF($B69=725,SUM($G69-(SUM($H69:$I69))),"")</f>
        <v/>
      </c>
      <c r="AL69" t="str">
        <f>IF($B69=735,SUM($G69-(SUM($H69:$I69))),"")</f>
        <v/>
      </c>
      <c r="AM69" t="str">
        <f>IF($B69=727,SUM($G69-(SUM($H69:$I69))),"")</f>
        <v/>
      </c>
      <c r="AN69" t="str">
        <f>IF($B69=718,SUM($G69-(SUM($H69:$I69))),"")</f>
        <v/>
      </c>
      <c r="AO69" t="str">
        <f>IF($B69=719,SUM($G69-(SUM($H69:$I69))),"")</f>
        <v/>
      </c>
      <c r="AP69" t="str">
        <f>IF($B69=717,SUM($G69-(SUM($H69:$I69))),"")</f>
        <v/>
      </c>
      <c r="AQ69" t="str">
        <f>IF($B69=722,SUM($G69-(SUM($H69:$I69))),"")</f>
        <v/>
      </c>
      <c r="AR69" t="str">
        <f>IF($B69=708,SUM($G69-(SUM($H69:$I69))),"")</f>
        <v/>
      </c>
      <c r="AS69" t="str">
        <f>IF($B69=701,SUM($G69-(SUM($H69:$I69))),"")</f>
        <v/>
      </c>
      <c r="AT69" t="str">
        <f>IF($B69=702,SUM($G69-(SUM($H69:$I69))),"")</f>
        <v/>
      </c>
      <c r="AU69" t="str">
        <f>IF($B69=731,SUM($G69-(SUM($H69:$I69))),"")</f>
        <v/>
      </c>
      <c r="AV69" t="str">
        <f>IF($B69=730,SUM($G69-(SUM($H69:$I69))),"")</f>
        <v/>
      </c>
    </row>
    <row r="70">
      <c r="B70" t="n" s="0">
        <v>733.0</v>
      </c>
      <c r="C70" t="s">
        <v>83</v>
      </c>
      <c r="D70" t="n">
        <f>D69+G70</f>
        <v>0.0</v>
      </c>
      <c r="F70" t="n">
        <f>SUM(H70:AV70)-G70</f>
        <v>0.0</v>
      </c>
      <c r="G70" s="2" t="n">
        <v>0.0</v>
      </c>
      <c r="H70" t="str">
        <f>IF(G70/23*3&gt;0,SUM(G70/23*3),"")</f>
        <v/>
      </c>
      <c r="I70" t="str">
        <f>IF(G70/23*3&lt;0,SUM(G70/23*3),"")</f>
        <v/>
      </c>
      <c r="J70" t="str">
        <f>IF($B70=707,SUM($G70-(SUM($H70:$I70))),"")</f>
        <v/>
      </c>
      <c r="K70" t="str">
        <f>IF($B70=706,SUM($G70-(SUM($H70:$I70))),"")</f>
        <v/>
      </c>
      <c r="L70" t="str">
        <f>IF($B70=703,SUM($G70-(SUM($H70:$I70))),"")</f>
        <v/>
      </c>
      <c r="M70" t="str">
        <f>IF($B70=704,SUM($G70-(SUM($H70:$I70))),"")</f>
        <v/>
      </c>
      <c r="N70" t="str">
        <f>IF($B70=709,SUM($G70-(SUM($H70:$I70))),"")</f>
        <v/>
      </c>
      <c r="O70" t="str">
        <f>IF($B70=738,SUM($G70-(SUM($H70:$I70))),"")</f>
        <v/>
      </c>
      <c r="P70" t="str">
        <f>IF($B70=739,SUM($G70-(SUM($H70:$I70))),"")</f>
        <v/>
      </c>
      <c r="Q70" t="str">
        <f>IF($B70=714,SUM($G70-(SUM($H70:$I70))),"")</f>
        <v/>
      </c>
      <c r="R70" t="str">
        <f>IF($B70=710,SUM($G70-(SUM($H70:$I70))),"")</f>
        <v/>
      </c>
      <c r="S70" t="str">
        <f>IF($B70=711,SUM($G70-(SUM($H70:$I70))),"")</f>
        <v/>
      </c>
      <c r="T70" t="str">
        <f>IF($B70=712,SUM($G70-(SUM($H70:$I70))),"")</f>
        <v/>
      </c>
      <c r="U70" t="str">
        <f>IF($B70=713,SUM($G70-(SUM($H70:$I70))),"")</f>
        <v/>
      </c>
      <c r="V70" t="str">
        <f>IF($B70=715,SUM($G70-(SUM($H70:$I70))),"")</f>
        <v/>
      </c>
      <c r="W70" t="str">
        <f>IF($B70=724,SUM($G70-(SUM($H70:$I70))),"")</f>
        <v/>
      </c>
      <c r="X70" t="str">
        <f>IF($B70=725,SUM($G70-(SUM($H70:$I70))),"")</f>
        <v/>
      </c>
      <c r="Y70" t="str">
        <f>IF($B70=726,SUM($G70-(SUM($H70:$I70))),"")</f>
        <v/>
      </c>
      <c r="Z70" t="str">
        <f>IF($B70=727,SUM($G70-(SUM($H70:$I70))),"")</f>
        <v/>
      </c>
      <c r="AA70" t="str">
        <f>IF($B70=728,SUM($G70-(SUM($H70:$I70))),"")</f>
        <v/>
      </c>
      <c r="AB70" t="str">
        <f>IF($B70=729,SUM($G70-(SUM($H70:$I70))),"")</f>
        <v/>
      </c>
      <c r="AC70" t="str">
        <f>IF($B70=730,SUM($G70-(SUM($H70:$I70))),"")</f>
        <v/>
      </c>
      <c r="AD70" t="str">
        <f>IF($B70=732,SUM($G70-(SUM($H70:$I70))),"")</f>
        <v/>
      </c>
      <c r="AE70" t="n">
        <f>IF($B70=733,SUM($G70-(SUM($H70:$I70))),"")</f>
        <v>0.0</v>
      </c>
      <c r="AF70" t="str">
        <f>IF($B70=734,SUM($G70-(SUM($H70:$I70))),"")</f>
        <v/>
      </c>
      <c r="AG70" t="str">
        <f>IF($B70=705,SUM($G70-(SUM($H70:$I70))),"")</f>
        <v/>
      </c>
      <c r="AH70" t="str">
        <f>IF($B70=735,SUM($G70-(SUM($H70:$I70))),"")</f>
        <v/>
      </c>
      <c r="AI70" t="str">
        <f>IF($B70=736,SUM($G70-(SUM($H70:$I70))),"")</f>
        <v/>
      </c>
      <c r="AJ70" t="str">
        <f>IF($B70=737,SUM($G70-(SUM($H70:$I70))),"")</f>
        <v/>
      </c>
      <c r="AK70" t="str">
        <f>IF($B70=725,SUM($G70-(SUM($H70:$I70))),"")</f>
        <v/>
      </c>
      <c r="AL70" t="str">
        <f>IF($B70=735,SUM($G70-(SUM($H70:$I70))),"")</f>
        <v/>
      </c>
      <c r="AM70" t="str">
        <f>IF($B70=727,SUM($G70-(SUM($H70:$I70))),"")</f>
        <v/>
      </c>
      <c r="AN70" t="str">
        <f>IF($B70=718,SUM($G70-(SUM($H70:$I70))),"")</f>
        <v/>
      </c>
      <c r="AO70" t="str">
        <f>IF($B70=719,SUM($G70-(SUM($H70:$I70))),"")</f>
        <v/>
      </c>
      <c r="AP70" t="str">
        <f>IF($B70=717,SUM($G70-(SUM($H70:$I70))),"")</f>
        <v/>
      </c>
      <c r="AQ70" t="str">
        <f>IF($B70=722,SUM($G70-(SUM($H70:$I70))),"")</f>
        <v/>
      </c>
      <c r="AR70" t="str">
        <f>IF($B70=708,SUM($G70-(SUM($H70:$I70))),"")</f>
        <v/>
      </c>
      <c r="AS70" t="str">
        <f>IF($B70=701,SUM($G70-(SUM($H70:$I70))),"")</f>
        <v/>
      </c>
      <c r="AT70" t="str">
        <f>IF($B70=702,SUM($G70-(SUM($H70:$I70))),"")</f>
        <v/>
      </c>
      <c r="AU70" t="str">
        <f>IF($B70=731,SUM($G70-(SUM($H70:$I70))),"")</f>
        <v/>
      </c>
      <c r="AV70" t="str">
        <f>IF($B70=730,SUM($G70-(SUM($H70:$I70))),"")</f>
        <v/>
      </c>
    </row>
    <row r="71">
      <c r="D71" t="n" s="0">
        <f>D70+G71</f>
        <v>0.0</v>
      </c>
      <c r="F71" t="n" s="0">
        <f>SUM(H71:AV71)-G71</f>
        <v>0.0</v>
      </c>
      <c r="H71" t="str" s="0">
        <f>IF(G71/23*3&gt;0,SUM(G71/23*3),"")</f>
        <v/>
      </c>
      <c r="I71" t="str" s="0">
        <f>IF(G71/23*3&lt;0,SUM(G71/23*3),"")</f>
        <v/>
      </c>
      <c r="J71" t="str" s="0">
        <f>IF($B71=707,SUM($G71-(SUM($H71:$I71))),"")</f>
        <v/>
      </c>
      <c r="K71" t="str" s="0">
        <f>IF($B71=706,SUM($G71-(SUM($H71:$I71))),"")</f>
        <v/>
      </c>
      <c r="L71" t="str" s="0">
        <f>IF($B71=703,SUM($G71-(SUM($H71:$I71))),"")</f>
        <v/>
      </c>
      <c r="M71" t="str" s="0">
        <f>IF($B71=704,SUM($G71-(SUM($H71:$I71))),"")</f>
        <v/>
      </c>
      <c r="N71" t="str" s="0">
        <f>IF($B71=709,SUM($G71-(SUM($H71:$I71))),"")</f>
        <v/>
      </c>
      <c r="O71" t="str" s="0">
        <f>IF($B71=738,SUM($G71-(SUM($H71:$I71))),"")</f>
        <v/>
      </c>
      <c r="P71" t="str" s="0">
        <f>IF($B71=739,SUM($G71-(SUM($H71:$I71))),"")</f>
        <v/>
      </c>
      <c r="Q71" t="str" s="0">
        <f>IF($B71=714,SUM($G71-(SUM($H71:$I71))),"")</f>
        <v/>
      </c>
      <c r="R71" t="str" s="0">
        <f>IF($B71=710,SUM($G71-(SUM($H71:$I71))),"")</f>
        <v/>
      </c>
      <c r="S71" t="str" s="0">
        <f>IF($B71=711,SUM($G71-(SUM($H71:$I71))),"")</f>
        <v/>
      </c>
      <c r="T71" t="str" s="0">
        <f>IF($B71=712,SUM($G71-(SUM($H71:$I71))),"")</f>
        <v/>
      </c>
      <c r="U71" t="str" s="0">
        <f>IF($B71=713,SUM($G71-(SUM($H71:$I71))),"")</f>
        <v/>
      </c>
      <c r="V71" t="str" s="0">
        <f>IF($B71=715,SUM($G71-(SUM($H71:$I71))),"")</f>
        <v/>
      </c>
      <c r="W71" t="str" s="0">
        <f>IF($B71=724,SUM($G71-(SUM($H71:$I71))),"")</f>
        <v/>
      </c>
      <c r="X71" t="str" s="0">
        <f>IF($B71=725,SUM($G71-(SUM($H71:$I71))),"")</f>
        <v/>
      </c>
      <c r="Y71" t="str" s="0">
        <f>IF($B71=726,SUM($G71-(SUM($H71:$I71))),"")</f>
        <v/>
      </c>
      <c r="Z71" t="str" s="0">
        <f>IF($B71=727,SUM($G71-(SUM($H71:$I71))),"")</f>
        <v/>
      </c>
      <c r="AA71" t="str" s="0">
        <f>IF($B71=728,SUM($G71-(SUM($H71:$I71))),"")</f>
        <v/>
      </c>
      <c r="AB71" t="str" s="0">
        <f>IF($B71=729,SUM($G71-(SUM($H71:$I71))),"")</f>
        <v/>
      </c>
      <c r="AC71" t="str" s="0">
        <f>IF($B71=730,SUM($G71-(SUM($H71:$I71))),"")</f>
        <v/>
      </c>
      <c r="AD71" t="str" s="0">
        <f>IF($B71=732,SUM($G71-(SUM($H71:$I71))),"")</f>
        <v/>
      </c>
      <c r="AE71" t="str" s="0">
        <f>IF($B71=733,SUM($G71-(SUM($H71:$I71))),"")</f>
        <v/>
      </c>
      <c r="AF71" t="str" s="0">
        <f>IF($B71=734,SUM($G71-(SUM($H71:$I71))),"")</f>
        <v/>
      </c>
      <c r="AG71" t="str" s="0">
        <f>IF($B71=705,SUM($G71-(SUM($H71:$I71))),"")</f>
        <v/>
      </c>
      <c r="AH71" t="str" s="0">
        <f>IF($B71=735,SUM($G71-(SUM($H71:$I71))),"")</f>
        <v/>
      </c>
      <c r="AI71" t="str" s="0">
        <f>IF($B71=736,SUM($G71-(SUM($H71:$I71))),"")</f>
        <v/>
      </c>
      <c r="AJ71" t="str" s="0">
        <f>IF($B71=737,SUM($G71-(SUM($H71:$I71))),"")</f>
        <v/>
      </c>
      <c r="AK71" t="str" s="0">
        <f>IF($B71=725,SUM($G71-(SUM($H71:$I71))),"")</f>
        <v/>
      </c>
      <c r="AL71" t="str" s="0">
        <f>IF($B71=735,SUM($G71-(SUM($H71:$I71))),"")</f>
        <v/>
      </c>
      <c r="AM71" t="str" s="0">
        <f>IF($B71=727,SUM($G71-(SUM($H71:$I71))),"")</f>
        <v/>
      </c>
      <c r="AN71" t="str" s="0">
        <f>IF($B71=718,SUM($G71-(SUM($H71:$I71))),"")</f>
        <v/>
      </c>
      <c r="AO71" t="str" s="0">
        <f>IF($B71=719,SUM($G71-(SUM($H71:$I71))),"")</f>
        <v/>
      </c>
      <c r="AP71" t="str" s="0">
        <f>IF($B71=717,SUM($G71-(SUM($H71:$I71))),"")</f>
        <v/>
      </c>
      <c r="AQ71" t="str" s="0">
        <f>IF($B71=722,SUM($G71-(SUM($H71:$I71))),"")</f>
        <v/>
      </c>
      <c r="AR71" t="str" s="0">
        <f>IF($B71=708,SUM($G71-(SUM($H71:$I71))),"")</f>
        <v/>
      </c>
      <c r="AS71" t="str" s="0">
        <f>IF($B71=701,SUM($G71-(SUM($H71:$I71))),"")</f>
        <v/>
      </c>
      <c r="AT71" t="str" s="0">
        <f>IF($B71=702,SUM($G71-(SUM($H71:$I71))),"")</f>
        <v/>
      </c>
      <c r="AU71" t="str" s="0">
        <f>IF($B71=731,SUM($G71-(SUM($H71:$I71))),"")</f>
        <v/>
      </c>
      <c r="AV71" t="str" s="0">
        <f>IF($B71=730,SUM($G71-(SUM($H71:$I71))),"")</f>
        <v/>
      </c>
    </row>
    <row r="72">
      <c r="B72" t="n" s="0">
        <v>707.0</v>
      </c>
      <c r="C72" t="s">
        <v>90</v>
      </c>
      <c r="D72" t="n">
        <f>D71+G72</f>
        <v>0.0</v>
      </c>
      <c r="F72" t="n">
        <f>SUM(H72:AV72)-G72</f>
        <v>0.0</v>
      </c>
      <c r="G72" s="2" t="n">
        <v>0.0</v>
      </c>
      <c r="H72" t="str">
        <f>IF(G72/23*3&gt;0,SUM(G72/23*3),"")</f>
        <v/>
      </c>
      <c r="I72" t="str">
        <f>IF(G72/23*3&lt;0,SUM(G72/23*3),"")</f>
        <v/>
      </c>
      <c r="J72" t="n">
        <f>IF($B72=707,SUM($G72-(SUM($H72:$I72))),"")</f>
        <v>0.0</v>
      </c>
      <c r="K72" t="str">
        <f>IF($B72=706,SUM($G72-(SUM($H72:$I72))),"")</f>
        <v/>
      </c>
      <c r="L72" t="str">
        <f>IF($B72=703,SUM($G72-(SUM($H72:$I72))),"")</f>
        <v/>
      </c>
      <c r="M72" t="str">
        <f>IF($B72=704,SUM($G72-(SUM($H72:$I72))),"")</f>
        <v/>
      </c>
      <c r="N72" t="str">
        <f>IF($B72=709,SUM($G72-(SUM($H72:$I72))),"")</f>
        <v/>
      </c>
      <c r="O72" t="str">
        <f>IF($B72=738,SUM($G72-(SUM($H72:$I72))),"")</f>
        <v/>
      </c>
      <c r="P72" t="str">
        <f>IF($B72=739,SUM($G72-(SUM($H72:$I72))),"")</f>
        <v/>
      </c>
      <c r="Q72" t="str">
        <f>IF($B72=714,SUM($G72-(SUM($H72:$I72))),"")</f>
        <v/>
      </c>
      <c r="R72" t="str">
        <f>IF($B72=710,SUM($G72-(SUM($H72:$I72))),"")</f>
        <v/>
      </c>
      <c r="S72" t="str">
        <f>IF($B72=711,SUM($G72-(SUM($H72:$I72))),"")</f>
        <v/>
      </c>
      <c r="T72" t="str">
        <f>IF($B72=712,SUM($G72-(SUM($H72:$I72))),"")</f>
        <v/>
      </c>
      <c r="U72" t="str">
        <f>IF($B72=713,SUM($G72-(SUM($H72:$I72))),"")</f>
        <v/>
      </c>
      <c r="V72" t="str">
        <f>IF($B72=715,SUM($G72-(SUM($H72:$I72))),"")</f>
        <v/>
      </c>
      <c r="W72" t="str">
        <f>IF($B72=724,SUM($G72-(SUM($H72:$I72))),"")</f>
        <v/>
      </c>
      <c r="X72" t="str">
        <f>IF($B72=725,SUM($G72-(SUM($H72:$I72))),"")</f>
        <v/>
      </c>
      <c r="Y72" t="str">
        <f>IF($B72=726,SUM($G72-(SUM($H72:$I72))),"")</f>
        <v/>
      </c>
      <c r="Z72" t="str">
        <f>IF($B72=727,SUM($G72-(SUM($H72:$I72))),"")</f>
        <v/>
      </c>
      <c r="AA72" t="str">
        <f>IF($B72=728,SUM($G72-(SUM($H72:$I72))),"")</f>
        <v/>
      </c>
      <c r="AB72" t="str">
        <f>IF($B72=729,SUM($G72-(SUM($H72:$I72))),"")</f>
        <v/>
      </c>
      <c r="AC72" t="str">
        <f>IF($B72=730,SUM($G72-(SUM($H72:$I72))),"")</f>
        <v/>
      </c>
      <c r="AD72" t="str">
        <f>IF($B72=732,SUM($G72-(SUM($H72:$I72))),"")</f>
        <v/>
      </c>
      <c r="AE72" t="str">
        <f>IF($B72=733,SUM($G72-(SUM($H72:$I72))),"")</f>
        <v/>
      </c>
      <c r="AF72" t="str">
        <f>IF($B72=734,SUM($G72-(SUM($H72:$I72))),"")</f>
        <v/>
      </c>
      <c r="AG72" t="str">
        <f>IF($B72=705,SUM($G72-(SUM($H72:$I72))),"")</f>
        <v/>
      </c>
      <c r="AH72" t="str">
        <f>IF($B72=735,SUM($G72-(SUM($H72:$I72))),"")</f>
        <v/>
      </c>
      <c r="AI72" t="str">
        <f>IF($B72=736,SUM($G72-(SUM($H72:$I72))),"")</f>
        <v/>
      </c>
      <c r="AJ72" t="str">
        <f>IF($B72=737,SUM($G72-(SUM($H72:$I72))),"")</f>
        <v/>
      </c>
      <c r="AK72" t="str">
        <f>IF($B72=725,SUM($G72-(SUM($H72:$I72))),"")</f>
        <v/>
      </c>
      <c r="AL72" t="str">
        <f>IF($B72=735,SUM($G72-(SUM($H72:$I72))),"")</f>
        <v/>
      </c>
      <c r="AM72" t="str">
        <f>IF($B72=727,SUM($G72-(SUM($H72:$I72))),"")</f>
        <v/>
      </c>
      <c r="AN72" t="str">
        <f>IF($B72=718,SUM($G72-(SUM($H72:$I72))),"")</f>
        <v/>
      </c>
      <c r="AO72" t="str">
        <f>IF($B72=719,SUM($G72-(SUM($H72:$I72))),"")</f>
        <v/>
      </c>
      <c r="AP72" t="str">
        <f>IF($B72=717,SUM($G72-(SUM($H72:$I72))),"")</f>
        <v/>
      </c>
      <c r="AQ72" t="str">
        <f>IF($B72=722,SUM($G72-(SUM($H72:$I72))),"")</f>
        <v/>
      </c>
      <c r="AR72" t="str">
        <f>IF($B72=708,SUM($G72-(SUM($H72:$I72))),"")</f>
        <v/>
      </c>
      <c r="AS72" t="str">
        <f>IF($B72=701,SUM($G72-(SUM($H72:$I72))),"")</f>
        <v/>
      </c>
      <c r="AT72" t="str">
        <f>IF($B72=702,SUM($G72-(SUM($H72:$I72))),"")</f>
        <v/>
      </c>
      <c r="AU72" t="str">
        <f>IF($B72=731,SUM($G72-(SUM($H72:$I72))),"")</f>
        <v/>
      </c>
      <c r="AV72" t="str">
        <f>IF($B72=730,SUM($G72-(SUM($H72:$I72))),"")</f>
        <v/>
      </c>
    </row>
    <row r="73">
      <c r="B73" t="n" s="0">
        <v>725.0</v>
      </c>
      <c r="C73" t="s">
        <v>77</v>
      </c>
      <c r="D73" t="n">
        <f>D72+G73</f>
        <v>0.0</v>
      </c>
      <c r="F73" t="n">
        <f>SUM(H73:AV73)-G73</f>
        <v>0.0</v>
      </c>
      <c r="G73" s="2" t="n">
        <v>0.0</v>
      </c>
      <c r="H73" t="str">
        <f>IF(G73/23*3&gt;0,SUM(G73/23*3),"")</f>
        <v/>
      </c>
      <c r="I73" t="str">
        <f>IF(G73/23*3&lt;0,SUM(G73/23*3),"")</f>
        <v/>
      </c>
      <c r="J73" t="str">
        <f>IF($B73=707,SUM($G73-(SUM($H73:$I73))),"")</f>
        <v/>
      </c>
      <c r="K73" t="str">
        <f>IF($B73=706,SUM($G73-(SUM($H73:$I73))),"")</f>
        <v/>
      </c>
      <c r="L73" t="str">
        <f>IF($B73=703,SUM($G73-(SUM($H73:$I73))),"")</f>
        <v/>
      </c>
      <c r="M73" t="str">
        <f>IF($B73=704,SUM($G73-(SUM($H73:$I73))),"")</f>
        <v/>
      </c>
      <c r="N73" t="str">
        <f>IF($B73=709,SUM($G73-(SUM($H73:$I73))),"")</f>
        <v/>
      </c>
      <c r="O73" t="str">
        <f>IF($B73=738,SUM($G73-(SUM($H73:$I73))),"")</f>
        <v/>
      </c>
      <c r="P73" t="str">
        <f>IF($B73=739,SUM($G73-(SUM($H73:$I73))),"")</f>
        <v/>
      </c>
      <c r="Q73" t="str">
        <f>IF($B73=714,SUM($G73-(SUM($H73:$I73))),"")</f>
        <v/>
      </c>
      <c r="R73" t="str">
        <f>IF($B73=710,SUM($G73-(SUM($H73:$I73))),"")</f>
        <v/>
      </c>
      <c r="S73" t="str">
        <f>IF($B73=711,SUM($G73-(SUM($H73:$I73))),"")</f>
        <v/>
      </c>
      <c r="T73" t="str">
        <f>IF($B73=712,SUM($G73-(SUM($H73:$I73))),"")</f>
        <v/>
      </c>
      <c r="U73" t="str">
        <f>IF($B73=713,SUM($G73-(SUM($H73:$I73))),"")</f>
        <v/>
      </c>
      <c r="V73" t="str">
        <f>IF($B73=715,SUM($G73-(SUM($H73:$I73))),"")</f>
        <v/>
      </c>
      <c r="W73" t="str">
        <f>IF($B73=724,SUM($G73-(SUM($H73:$I73))),"")</f>
        <v/>
      </c>
      <c r="X73" t="n">
        <f>IF($B73=725,SUM($G73-(SUM($H73:$I73))),"")</f>
        <v>0.0</v>
      </c>
      <c r="Y73" t="str">
        <f>IF($B73=726,SUM($G73-(SUM($H73:$I73))),"")</f>
        <v/>
      </c>
      <c r="Z73" t="str">
        <f>IF($B73=727,SUM($G73-(SUM($H73:$I73))),"")</f>
        <v/>
      </c>
      <c r="AA73" t="str">
        <f>IF($B73=728,SUM($G73-(SUM($H73:$I73))),"")</f>
        <v/>
      </c>
      <c r="AB73" t="str">
        <f>IF($B73=729,SUM($G73-(SUM($H73:$I73))),"")</f>
        <v/>
      </c>
      <c r="AC73" t="str">
        <f>IF($B73=730,SUM($G73-(SUM($H73:$I73))),"")</f>
        <v/>
      </c>
      <c r="AD73" t="str">
        <f>IF($B73=732,SUM($G73-(SUM($H73:$I73))),"")</f>
        <v/>
      </c>
      <c r="AE73" t="str">
        <f>IF($B73=733,SUM($G73-(SUM($H73:$I73))),"")</f>
        <v/>
      </c>
      <c r="AF73" t="str">
        <f>IF($B73=734,SUM($G73-(SUM($H73:$I73))),"")</f>
        <v/>
      </c>
      <c r="AG73" t="str">
        <f>IF($B73=705,SUM($G73-(SUM($H73:$I73))),"")</f>
        <v/>
      </c>
      <c r="AH73" t="str">
        <f>IF($B73=735,SUM($G73-(SUM($H73:$I73))),"")</f>
        <v/>
      </c>
      <c r="AI73" t="str">
        <f>IF($B73=736,SUM($G73-(SUM($H73:$I73))),"")</f>
        <v/>
      </c>
      <c r="AJ73" t="str">
        <f>IF($B73=737,SUM($G73-(SUM($H73:$I73))),"")</f>
        <v/>
      </c>
      <c r="AK73" t="n">
        <f>IF($B73=725,SUM($G73-(SUM($H73:$I73))),"")</f>
        <v>0.0</v>
      </c>
      <c r="AL73" t="str">
        <f>IF($B73=735,SUM($G73-(SUM($H73:$I73))),"")</f>
        <v/>
      </c>
      <c r="AM73" t="str">
        <f>IF($B73=727,SUM($G73-(SUM($H73:$I73))),"")</f>
        <v/>
      </c>
      <c r="AN73" t="str">
        <f>IF($B73=718,SUM($G73-(SUM($H73:$I73))),"")</f>
        <v/>
      </c>
      <c r="AO73" t="str">
        <f>IF($B73=719,SUM($G73-(SUM($H73:$I73))),"")</f>
        <v/>
      </c>
      <c r="AP73" t="str">
        <f>IF($B73=717,SUM($G73-(SUM($H73:$I73))),"")</f>
        <v/>
      </c>
      <c r="AQ73" t="str">
        <f>IF($B73=722,SUM($G73-(SUM($H73:$I73))),"")</f>
        <v/>
      </c>
      <c r="AR73" t="str">
        <f>IF($B73=708,SUM($G73-(SUM($H73:$I73))),"")</f>
        <v/>
      </c>
      <c r="AS73" t="str">
        <f>IF($B73=701,SUM($G73-(SUM($H73:$I73))),"")</f>
        <v/>
      </c>
      <c r="AT73" t="str">
        <f>IF($B73=702,SUM($G73-(SUM($H73:$I73))),"")</f>
        <v/>
      </c>
      <c r="AU73" t="str">
        <f>IF($B73=731,SUM($G73-(SUM($H73:$I73))),"")</f>
        <v/>
      </c>
      <c r="AV73" t="str">
        <f>IF($B73=730,SUM($G73-(SUM($H73:$I73))),"")</f>
        <v/>
      </c>
    </row>
    <row r="74">
      <c r="B74" t="n" s="0">
        <v>726.0</v>
      </c>
      <c r="C74" t="s">
        <v>78</v>
      </c>
      <c r="D74" t="n">
        <f>D73+G74</f>
        <v>0.0</v>
      </c>
      <c r="F74" t="n">
        <f>SUM(H74:AV74)-G74</f>
        <v>0.0</v>
      </c>
      <c r="G74" s="2" t="n">
        <f>-(OtherCalculation!C9)</f>
        <v>0.0</v>
      </c>
      <c r="H74" t="str">
        <f>IF(G74/23*3&gt;0,SUM(G74/23*3),"")</f>
        <v/>
      </c>
      <c r="I74" t="str">
        <f>IF(G74/23*3&lt;0,SUM(G74/23*3),"")</f>
        <v/>
      </c>
      <c r="J74" t="str">
        <f>IF($B74=707,SUM($G74-(SUM($H74:$I74))),"")</f>
        <v/>
      </c>
      <c r="K74" t="str">
        <f>IF($B74=706,SUM($G74-(SUM($H74:$I74))),"")</f>
        <v/>
      </c>
      <c r="L74" t="str">
        <f>IF($B74=703,SUM($G74-(SUM($H74:$I74))),"")</f>
        <v/>
      </c>
      <c r="M74" t="str">
        <f>IF($B74=704,SUM($G74-(SUM($H74:$I74))),"")</f>
        <v/>
      </c>
      <c r="N74" t="str">
        <f>IF($B74=709,SUM($G74-(SUM($H74:$I74))),"")</f>
        <v/>
      </c>
      <c r="O74" t="str">
        <f>IF($B74=738,SUM($G74-(SUM($H74:$I74))),"")</f>
        <v/>
      </c>
      <c r="P74" t="str">
        <f>IF($B74=739,SUM($G74-(SUM($H74:$I74))),"")</f>
        <v/>
      </c>
      <c r="Q74" t="str">
        <f>IF($B74=714,SUM($G74-(SUM($H74:$I74))),"")</f>
        <v/>
      </c>
      <c r="R74" t="str">
        <f>IF($B74=710,SUM($G74-(SUM($H74:$I74))),"")</f>
        <v/>
      </c>
      <c r="S74" t="str">
        <f>IF($B74=711,SUM($G74-(SUM($H74:$I74))),"")</f>
        <v/>
      </c>
      <c r="T74" t="str">
        <f>IF($B74=712,SUM($G74-(SUM($H74:$I74))),"")</f>
        <v/>
      </c>
      <c r="U74" t="str">
        <f>IF($B74=713,SUM($G74-(SUM($H74:$I74))),"")</f>
        <v/>
      </c>
      <c r="V74" t="str">
        <f>IF($B74=715,SUM($G74-(SUM($H74:$I74))),"")</f>
        <v/>
      </c>
      <c r="W74" t="str">
        <f>IF($B74=724,SUM($G74-(SUM($H74:$I74))),"")</f>
        <v/>
      </c>
      <c r="X74" t="str">
        <f>IF($B74=725,SUM($G74-(SUM($H74:$I74))),"")</f>
        <v/>
      </c>
      <c r="Y74" t="n">
        <f>IF($B74=726,SUM($G74-(SUM($H74:$I74))),"")</f>
        <v>0.0</v>
      </c>
      <c r="Z74" t="str">
        <f>IF($B74=727,SUM($G74-(SUM($H74:$I74))),"")</f>
        <v/>
      </c>
      <c r="AA74" t="str">
        <f>IF($B74=728,SUM($G74-(SUM($H74:$I74))),"")</f>
        <v/>
      </c>
      <c r="AB74" t="str">
        <f>IF($B74=729,SUM($G74-(SUM($H74:$I74))),"")</f>
        <v/>
      </c>
      <c r="AC74" t="str">
        <f>IF($B74=730,SUM($G74-(SUM($H74:$I74))),"")</f>
        <v/>
      </c>
      <c r="AD74" t="str">
        <f>IF($B74=732,SUM($G74-(SUM($H74:$I74))),"")</f>
        <v/>
      </c>
      <c r="AE74" t="str">
        <f>IF($B74=733,SUM($G74-(SUM($H74:$I74))),"")</f>
        <v/>
      </c>
      <c r="AF74" t="str">
        <f>IF($B74=734,SUM($G74-(SUM($H74:$I74))),"")</f>
        <v/>
      </c>
      <c r="AG74" t="str">
        <f>IF($B74=705,SUM($G74-(SUM($H74:$I74))),"")</f>
        <v/>
      </c>
      <c r="AH74" t="str">
        <f>IF($B74=735,SUM($G74-(SUM($H74:$I74))),"")</f>
        <v/>
      </c>
      <c r="AI74" t="str">
        <f>IF($B74=736,SUM($G74-(SUM($H74:$I74))),"")</f>
        <v/>
      </c>
      <c r="AJ74" t="str">
        <f>IF($B74=737,SUM($G74-(SUM($H74:$I74))),"")</f>
        <v/>
      </c>
      <c r="AK74" t="str">
        <f>IF($B74=725,SUM($G74-(SUM($H74:$I74))),"")</f>
        <v/>
      </c>
      <c r="AL74" t="str">
        <f>IF($B74=735,SUM($G74-(SUM($H74:$I74))),"")</f>
        <v/>
      </c>
      <c r="AM74" t="str">
        <f>IF($B74=727,SUM($G74-(SUM($H74:$I74))),"")</f>
        <v/>
      </c>
      <c r="AN74" t="str">
        <f>IF($B74=718,SUM($G74-(SUM($H74:$I74))),"")</f>
        <v/>
      </c>
      <c r="AO74" t="str">
        <f>IF($B74=719,SUM($G74-(SUM($H74:$I74))),"")</f>
        <v/>
      </c>
      <c r="AP74" t="str">
        <f>IF($B74=717,SUM($G74-(SUM($H74:$I74))),"")</f>
        <v/>
      </c>
      <c r="AQ74" t="str">
        <f>IF($B74=722,SUM($G74-(SUM($H74:$I74))),"")</f>
        <v/>
      </c>
      <c r="AR74" t="str">
        <f>IF($B74=708,SUM($G74-(SUM($H74:$I74))),"")</f>
        <v/>
      </c>
      <c r="AS74" t="str">
        <f>IF($B74=701,SUM($G74-(SUM($H74:$I74))),"")</f>
        <v/>
      </c>
      <c r="AT74" t="str">
        <f>IF($B74=702,SUM($G74-(SUM($H74:$I74))),"")</f>
        <v/>
      </c>
      <c r="AU74" t="str">
        <f>IF($B74=731,SUM($G74-(SUM($H74:$I74))),"")</f>
        <v/>
      </c>
      <c r="AV74" t="str">
        <f>IF($B74=730,SUM($G74-(SUM($H74:$I74))),"")</f>
        <v/>
      </c>
    </row>
    <row r="75">
      <c r="B75" t="n" s="0">
        <v>730.0</v>
      </c>
      <c r="C75" t="s">
        <v>85</v>
      </c>
      <c r="D75" t="n">
        <f>D74+G75</f>
        <v>0.0</v>
      </c>
      <c r="F75" t="n">
        <f>SUM(H75:AV75)-G75</f>
        <v>0.0</v>
      </c>
      <c r="G75" s="2" t="n">
        <v>0.0</v>
      </c>
      <c r="H75" t="str">
        <f>IF(G75/23*3&gt;0,SUM(G75/23*3),"")</f>
        <v/>
      </c>
      <c r="I75" t="str">
        <f>IF(G75/23*3&lt;0,SUM(G75/23*3),"")</f>
        <v/>
      </c>
      <c r="J75" t="str">
        <f>IF($B75=707,SUM($G75-(SUM($H75:$I75))),"")</f>
        <v/>
      </c>
      <c r="K75" t="str">
        <f>IF($B75=706,SUM($G75-(SUM($H75:$I75))),"")</f>
        <v/>
      </c>
      <c r="L75" t="str">
        <f>IF($B75=703,SUM($G75-(SUM($H75:$I75))),"")</f>
        <v/>
      </c>
      <c r="M75" t="str">
        <f>IF($B75=704,SUM($G75-(SUM($H75:$I75))),"")</f>
        <v/>
      </c>
      <c r="N75" t="str">
        <f>IF($B75=709,SUM($G75-(SUM($H75:$I75))),"")</f>
        <v/>
      </c>
      <c r="O75" t="str">
        <f>IF($B75=738,SUM($G75-(SUM($H75:$I75))),"")</f>
        <v/>
      </c>
      <c r="P75" t="str">
        <f>IF($B75=739,SUM($G75-(SUM($H75:$I75))),"")</f>
        <v/>
      </c>
      <c r="Q75" t="str">
        <f>IF($B75=714,SUM($G75-(SUM($H75:$I75))),"")</f>
        <v/>
      </c>
      <c r="R75" t="str">
        <f>IF($B75=710,SUM($G75-(SUM($H75:$I75))),"")</f>
        <v/>
      </c>
      <c r="S75" t="str">
        <f>IF($B75=711,SUM($G75-(SUM($H75:$I75))),"")</f>
        <v/>
      </c>
      <c r="T75" t="str">
        <f>IF($B75=712,SUM($G75-(SUM($H75:$I75))),"")</f>
        <v/>
      </c>
      <c r="U75" t="str">
        <f>IF($B75=713,SUM($G75-(SUM($H75:$I75))),"")</f>
        <v/>
      </c>
      <c r="V75" t="str">
        <f>IF($B75=715,SUM($G75-(SUM($H75:$I75))),"")</f>
        <v/>
      </c>
      <c r="W75" t="str">
        <f>IF($B75=724,SUM($G75-(SUM($H75:$I75))),"")</f>
        <v/>
      </c>
      <c r="X75" t="str">
        <f>IF($B75=725,SUM($G75-(SUM($H75:$I75))),"")</f>
        <v/>
      </c>
      <c r="Y75" t="str">
        <f>IF($B75=726,SUM($G75-(SUM($H75:$I75))),"")</f>
        <v/>
      </c>
      <c r="Z75" t="str">
        <f>IF($B75=727,SUM($G75-(SUM($H75:$I75))),"")</f>
        <v/>
      </c>
      <c r="AA75" t="str">
        <f>IF($B75=728,SUM($G75-(SUM($H75:$I75))),"")</f>
        <v/>
      </c>
      <c r="AB75" t="str">
        <f>IF($B75=729,SUM($G75-(SUM($H75:$I75))),"")</f>
        <v/>
      </c>
      <c r="AC75" t="n">
        <f>IF($B75=730,SUM($G75-(SUM($H75:$I75))),"")</f>
        <v>0.0</v>
      </c>
      <c r="AD75" t="str">
        <f>IF($B75=732,SUM($G75-(SUM($H75:$I75))),"")</f>
        <v/>
      </c>
      <c r="AE75" t="str">
        <f>IF($B75=733,SUM($G75-(SUM($H75:$I75))),"")</f>
        <v/>
      </c>
      <c r="AF75" t="str">
        <f>IF($B75=734,SUM($G75-(SUM($H75:$I75))),"")</f>
        <v/>
      </c>
      <c r="AG75" t="str">
        <f>IF($B75=705,SUM($G75-(SUM($H75:$I75))),"")</f>
        <v/>
      </c>
      <c r="AH75" t="str">
        <f>IF($B75=735,SUM($G75-(SUM($H75:$I75))),"")</f>
        <v/>
      </c>
      <c r="AI75" t="str">
        <f>IF($B75=736,SUM($G75-(SUM($H75:$I75))),"")</f>
        <v/>
      </c>
      <c r="AJ75" t="str">
        <f>IF($B75=737,SUM($G75-(SUM($H75:$I75))),"")</f>
        <v/>
      </c>
      <c r="AK75" t="str">
        <f>IF($B75=725,SUM($G75-(SUM($H75:$I75))),"")</f>
        <v/>
      </c>
      <c r="AL75" t="str">
        <f>IF($B75=735,SUM($G75-(SUM($H75:$I75))),"")</f>
        <v/>
      </c>
      <c r="AM75" t="str">
        <f>IF($B75=727,SUM($G75-(SUM($H75:$I75))),"")</f>
        <v/>
      </c>
      <c r="AN75" t="str">
        <f>IF($B75=718,SUM($G75-(SUM($H75:$I75))),"")</f>
        <v/>
      </c>
      <c r="AO75" t="str">
        <f>IF($B75=719,SUM($G75-(SUM($H75:$I75))),"")</f>
        <v/>
      </c>
      <c r="AP75" t="str">
        <f>IF($B75=717,SUM($G75-(SUM($H75:$I75))),"")</f>
        <v/>
      </c>
      <c r="AQ75" t="str">
        <f>IF($B75=722,SUM($G75-(SUM($H75:$I75))),"")</f>
        <v/>
      </c>
      <c r="AR75" t="str">
        <f>IF($B75=708,SUM($G75-(SUM($H75:$I75))),"")</f>
        <v/>
      </c>
      <c r="AS75" t="str">
        <f>IF($B75=701,SUM($G75-(SUM($H75:$I75))),"")</f>
        <v/>
      </c>
      <c r="AT75" t="str">
        <f>IF($B75=702,SUM($G75-(SUM($H75:$I75))),"")</f>
        <v/>
      </c>
      <c r="AU75" t="str">
        <f>IF($B75=731,SUM($G75-(SUM($H75:$I75))),"")</f>
        <v/>
      </c>
      <c r="AV75" t="n">
        <f>IF($B75=730,SUM($G75-(SUM($H75:$I75))),"")</f>
        <v>0.0</v>
      </c>
    </row>
    <row r="76">
      <c r="B76" t="n" s="0">
        <v>727.0</v>
      </c>
      <c r="C76" t="s">
        <v>79</v>
      </c>
      <c r="D76" t="n">
        <f>D75+G76</f>
        <v>0.0</v>
      </c>
      <c r="F76" t="n">
        <f>SUM(H76:AV76)-G76</f>
        <v>0.0</v>
      </c>
      <c r="G76" s="2" t="n">
        <v>0.0</v>
      </c>
      <c r="H76" t="str">
        <f>IF(G76/23*3&gt;0,SUM(G76/23*3),"")</f>
        <v/>
      </c>
      <c r="I76" t="str">
        <f>IF(G76/23*3&lt;0,SUM(G76/23*3),"")</f>
        <v/>
      </c>
      <c r="J76" t="str">
        <f>IF($B76=707,SUM($G76-(SUM($H76:$I76))),"")</f>
        <v/>
      </c>
      <c r="K76" t="str">
        <f>IF($B76=706,SUM($G76-(SUM($H76:$I76))),"")</f>
        <v/>
      </c>
      <c r="L76" t="str">
        <f>IF($B76=703,SUM($G76-(SUM($H76:$I76))),"")</f>
        <v/>
      </c>
      <c r="M76" t="str">
        <f>IF($B76=704,SUM($G76-(SUM($H76:$I76))),"")</f>
        <v/>
      </c>
      <c r="N76" t="str">
        <f>IF($B76=709,SUM($G76-(SUM($H76:$I76))),"")</f>
        <v/>
      </c>
      <c r="O76" t="str">
        <f>IF($B76=738,SUM($G76-(SUM($H76:$I76))),"")</f>
        <v/>
      </c>
      <c r="P76" t="str">
        <f>IF($B76=739,SUM($G76-(SUM($H76:$I76))),"")</f>
        <v/>
      </c>
      <c r="Q76" t="str">
        <f>IF($B76=714,SUM($G76-(SUM($H76:$I76))),"")</f>
        <v/>
      </c>
      <c r="R76" t="str">
        <f>IF($B76=710,SUM($G76-(SUM($H76:$I76))),"")</f>
        <v/>
      </c>
      <c r="S76" t="str">
        <f>IF($B76=711,SUM($G76-(SUM($H76:$I76))),"")</f>
        <v/>
      </c>
      <c r="T76" t="str">
        <f>IF($B76=712,SUM($G76-(SUM($H76:$I76))),"")</f>
        <v/>
      </c>
      <c r="U76" t="str">
        <f>IF($B76=713,SUM($G76-(SUM($H76:$I76))),"")</f>
        <v/>
      </c>
      <c r="V76" t="str">
        <f>IF($B76=715,SUM($G76-(SUM($H76:$I76))),"")</f>
        <v/>
      </c>
      <c r="W76" t="str">
        <f>IF($B76=724,SUM($G76-(SUM($H76:$I76))),"")</f>
        <v/>
      </c>
      <c r="X76" t="str">
        <f>IF($B76=725,SUM($G76-(SUM($H76:$I76))),"")</f>
        <v/>
      </c>
      <c r="Y76" t="str">
        <f>IF($B76=726,SUM($G76-(SUM($H76:$I76))),"")</f>
        <v/>
      </c>
      <c r="Z76" t="n">
        <f>IF($B76=727,SUM($G76-(SUM($H76:$I76))),"")</f>
        <v>0.0</v>
      </c>
      <c r="AA76" t="str">
        <f>IF($B76=728,SUM($G76-(SUM($H76:$I76))),"")</f>
        <v/>
      </c>
      <c r="AB76" t="str">
        <f>IF($B76=729,SUM($G76-(SUM($H76:$I76))),"")</f>
        <v/>
      </c>
      <c r="AC76" t="str">
        <f>IF($B76=730,SUM($G76-(SUM($H76:$I76))),"")</f>
        <v/>
      </c>
      <c r="AD76" t="str">
        <f>IF($B76=732,SUM($G76-(SUM($H76:$I76))),"")</f>
        <v/>
      </c>
      <c r="AE76" t="str">
        <f>IF($B76=733,SUM($G76-(SUM($H76:$I76))),"")</f>
        <v/>
      </c>
      <c r="AF76" t="str">
        <f>IF($B76=734,SUM($G76-(SUM($H76:$I76))),"")</f>
        <v/>
      </c>
      <c r="AG76" t="str">
        <f>IF($B76=705,SUM($G76-(SUM($H76:$I76))),"")</f>
        <v/>
      </c>
      <c r="AH76" t="str">
        <f>IF($B76=735,SUM($G76-(SUM($H76:$I76))),"")</f>
        <v/>
      </c>
      <c r="AI76" t="str">
        <f>IF($B76=736,SUM($G76-(SUM($H76:$I76))),"")</f>
        <v/>
      </c>
      <c r="AJ76" t="str">
        <f>IF($B76=737,SUM($G76-(SUM($H76:$I76))),"")</f>
        <v/>
      </c>
      <c r="AK76" t="str">
        <f>IF($B76=725,SUM($G76-(SUM($H76:$I76))),"")</f>
        <v/>
      </c>
      <c r="AL76" t="str">
        <f>IF($B76=735,SUM($G76-(SUM($H76:$I76))),"")</f>
        <v/>
      </c>
      <c r="AM76" t="n">
        <f>IF($B76=727,SUM($G76-(SUM($H76:$I76))),"")</f>
        <v>0.0</v>
      </c>
      <c r="AN76" t="str">
        <f>IF($B76=718,SUM($G76-(SUM($H76:$I76))),"")</f>
        <v/>
      </c>
      <c r="AO76" t="str">
        <f>IF($B76=719,SUM($G76-(SUM($H76:$I76))),"")</f>
        <v/>
      </c>
      <c r="AP76" t="str">
        <f>IF($B76=717,SUM($G76-(SUM($H76:$I76))),"")</f>
        <v/>
      </c>
      <c r="AQ76" t="str">
        <f>IF($B76=722,SUM($G76-(SUM($H76:$I76))),"")</f>
        <v/>
      </c>
      <c r="AR76" t="str">
        <f>IF($B76=708,SUM($G76-(SUM($H76:$I76))),"")</f>
        <v/>
      </c>
      <c r="AS76" t="str">
        <f>IF($B76=701,SUM($G76-(SUM($H76:$I76))),"")</f>
        <v/>
      </c>
      <c r="AT76" t="str">
        <f>IF($B76=702,SUM($G76-(SUM($H76:$I76))),"")</f>
        <v/>
      </c>
      <c r="AU76" t="str">
        <f>IF($B76=731,SUM($G76-(SUM($H76:$I76))),"")</f>
        <v/>
      </c>
      <c r="AV76" t="str">
        <f>IF($B76=730,SUM($G76-(SUM($H76:$I76))),"")</f>
        <v/>
      </c>
    </row>
    <row r="77">
      <c r="B77" t="n" s="0">
        <v>728.0</v>
      </c>
      <c r="C77" t="s">
        <v>80</v>
      </c>
      <c r="D77" t="n">
        <f>D76+G77</f>
        <v>0.0</v>
      </c>
      <c r="F77" t="n">
        <f>SUM(H77:AV77)-G77</f>
        <v>0.0</v>
      </c>
      <c r="G77" s="2" t="n">
        <v>0.0</v>
      </c>
      <c r="H77" t="str">
        <f>IF(G77/23*3&gt;0,SUM(G77/23*3),"")</f>
        <v/>
      </c>
      <c r="I77" t="str">
        <f>IF(G77/23*3&lt;0,SUM(G77/23*3),"")</f>
        <v/>
      </c>
      <c r="J77" t="str">
        <f>IF($B77=707,SUM($G77-(SUM($H77:$I77))),"")</f>
        <v/>
      </c>
      <c r="K77" t="str">
        <f>IF($B77=706,SUM($G77-(SUM($H77:$I77))),"")</f>
        <v/>
      </c>
      <c r="L77" t="str">
        <f>IF($B77=703,SUM($G77-(SUM($H77:$I77))),"")</f>
        <v/>
      </c>
      <c r="M77" t="str">
        <f>IF($B77=704,SUM($G77-(SUM($H77:$I77))),"")</f>
        <v/>
      </c>
      <c r="N77" t="str">
        <f>IF($B77=709,SUM($G77-(SUM($H77:$I77))),"")</f>
        <v/>
      </c>
      <c r="O77" t="str">
        <f>IF($B77=738,SUM($G77-(SUM($H77:$I77))),"")</f>
        <v/>
      </c>
      <c r="P77" t="str">
        <f>IF($B77=739,SUM($G77-(SUM($H77:$I77))),"")</f>
        <v/>
      </c>
      <c r="Q77" t="str">
        <f>IF($B77=714,SUM($G77-(SUM($H77:$I77))),"")</f>
        <v/>
      </c>
      <c r="R77" t="str">
        <f>IF($B77=710,SUM($G77-(SUM($H77:$I77))),"")</f>
        <v/>
      </c>
      <c r="S77" t="str">
        <f>IF($B77=711,SUM($G77-(SUM($H77:$I77))),"")</f>
        <v/>
      </c>
      <c r="T77" t="str">
        <f>IF($B77=712,SUM($G77-(SUM($H77:$I77))),"")</f>
        <v/>
      </c>
      <c r="U77" t="str">
        <f>IF($B77=713,SUM($G77-(SUM($H77:$I77))),"")</f>
        <v/>
      </c>
      <c r="V77" t="str">
        <f>IF($B77=715,SUM($G77-(SUM($H77:$I77))),"")</f>
        <v/>
      </c>
      <c r="W77" t="str">
        <f>IF($B77=724,SUM($G77-(SUM($H77:$I77))),"")</f>
        <v/>
      </c>
      <c r="X77" t="str">
        <f>IF($B77=725,SUM($G77-(SUM($H77:$I77))),"")</f>
        <v/>
      </c>
      <c r="Y77" t="str">
        <f>IF($B77=726,SUM($G77-(SUM($H77:$I77))),"")</f>
        <v/>
      </c>
      <c r="Z77" t="str">
        <f>IF($B77=727,SUM($G77-(SUM($H77:$I77))),"")</f>
        <v/>
      </c>
      <c r="AA77" t="n">
        <f>IF($B77=728,SUM($G77-(SUM($H77:$I77))),"")</f>
        <v>0.0</v>
      </c>
      <c r="AB77" t="str">
        <f>IF($B77=729,SUM($G77-(SUM($H77:$I77))),"")</f>
        <v/>
      </c>
      <c r="AC77" t="str">
        <f>IF($B77=730,SUM($G77-(SUM($H77:$I77))),"")</f>
        <v/>
      </c>
      <c r="AD77" t="str">
        <f>IF($B77=732,SUM($G77-(SUM($H77:$I77))),"")</f>
        <v/>
      </c>
      <c r="AE77" t="str">
        <f>IF($B77=733,SUM($G77-(SUM($H77:$I77))),"")</f>
        <v/>
      </c>
      <c r="AF77" t="str">
        <f>IF($B77=734,SUM($G77-(SUM($H77:$I77))),"")</f>
        <v/>
      </c>
      <c r="AG77" t="str">
        <f>IF($B77=705,SUM($G77-(SUM($H77:$I77))),"")</f>
        <v/>
      </c>
      <c r="AH77" t="str">
        <f>IF($B77=735,SUM($G77-(SUM($H77:$I77))),"")</f>
        <v/>
      </c>
      <c r="AI77" t="str">
        <f>IF($B77=736,SUM($G77-(SUM($H77:$I77))),"")</f>
        <v/>
      </c>
      <c r="AJ77" t="str">
        <f>IF($B77=737,SUM($G77-(SUM($H77:$I77))),"")</f>
        <v/>
      </c>
      <c r="AK77" t="str">
        <f>IF($B77=725,SUM($G77-(SUM($H77:$I77))),"")</f>
        <v/>
      </c>
      <c r="AL77" t="str">
        <f>IF($B77=735,SUM($G77-(SUM($H77:$I77))),"")</f>
        <v/>
      </c>
      <c r="AM77" t="str">
        <f>IF($B77=727,SUM($G77-(SUM($H77:$I77))),"")</f>
        <v/>
      </c>
      <c r="AN77" t="str">
        <f>IF($B77=718,SUM($G77-(SUM($H77:$I77))),"")</f>
        <v/>
      </c>
      <c r="AO77" t="str">
        <f>IF($B77=719,SUM($G77-(SUM($H77:$I77))),"")</f>
        <v/>
      </c>
      <c r="AP77" t="str">
        <f>IF($B77=717,SUM($G77-(SUM($H77:$I77))),"")</f>
        <v/>
      </c>
      <c r="AQ77" t="str">
        <f>IF($B77=722,SUM($G77-(SUM($H77:$I77))),"")</f>
        <v/>
      </c>
      <c r="AR77" t="str">
        <f>IF($B77=708,SUM($G77-(SUM($H77:$I77))),"")</f>
        <v/>
      </c>
      <c r="AS77" t="str">
        <f>IF($B77=701,SUM($G77-(SUM($H77:$I77))),"")</f>
        <v/>
      </c>
      <c r="AT77" t="str">
        <f>IF($B77=702,SUM($G77-(SUM($H77:$I77))),"")</f>
        <v/>
      </c>
      <c r="AU77" t="str">
        <f>IF($B77=731,SUM($G77-(SUM($H77:$I77))),"")</f>
        <v/>
      </c>
      <c r="AV77" t="str">
        <f>IF($B77=730,SUM($G77-(SUM($H77:$I77))),"")</f>
        <v/>
      </c>
    </row>
    <row r="78">
      <c r="B78" t="n" s="0">
        <v>729.0</v>
      </c>
      <c r="C78" t="s">
        <v>81</v>
      </c>
      <c r="D78" t="n">
        <f>D77+G78</f>
        <v>0.0</v>
      </c>
      <c r="F78" t="n">
        <f>SUM(H78:AV78)-G78</f>
        <v>0.0</v>
      </c>
      <c r="G78" s="2" t="n">
        <v>0.0</v>
      </c>
      <c r="H78" t="str">
        <f>IF(G78/23*3&gt;0,SUM(G78/23*3),"")</f>
        <v/>
      </c>
      <c r="I78" t="str">
        <f>IF(G78/23*3&lt;0,SUM(G78/23*3),"")</f>
        <v/>
      </c>
      <c r="J78" t="str">
        <f>IF($B78=707,SUM($G78-(SUM($H78:$I78))),"")</f>
        <v/>
      </c>
      <c r="K78" t="str">
        <f>IF($B78=706,SUM($G78-(SUM($H78:$I78))),"")</f>
        <v/>
      </c>
      <c r="L78" t="str">
        <f>IF($B78=703,SUM($G78-(SUM($H78:$I78))),"")</f>
        <v/>
      </c>
      <c r="M78" t="str">
        <f>IF($B78=704,SUM($G78-(SUM($H78:$I78))),"")</f>
        <v/>
      </c>
      <c r="N78" t="str">
        <f>IF($B78=709,SUM($G78-(SUM($H78:$I78))),"")</f>
        <v/>
      </c>
      <c r="O78" t="str">
        <f>IF($B78=738,SUM($G78-(SUM($H78:$I78))),"")</f>
        <v/>
      </c>
      <c r="P78" t="str">
        <f>IF($B78=739,SUM($G78-(SUM($H78:$I78))),"")</f>
        <v/>
      </c>
      <c r="Q78" t="str">
        <f>IF($B78=714,SUM($G78-(SUM($H78:$I78))),"")</f>
        <v/>
      </c>
      <c r="R78" t="str">
        <f>IF($B78=710,SUM($G78-(SUM($H78:$I78))),"")</f>
        <v/>
      </c>
      <c r="S78" t="str">
        <f>IF($B78=711,SUM($G78-(SUM($H78:$I78))),"")</f>
        <v/>
      </c>
      <c r="T78" t="str">
        <f>IF($B78=712,SUM($G78-(SUM($H78:$I78))),"")</f>
        <v/>
      </c>
      <c r="U78" t="str">
        <f>IF($B78=713,SUM($G78-(SUM($H78:$I78))),"")</f>
        <v/>
      </c>
      <c r="V78" t="str">
        <f>IF($B78=715,SUM($G78-(SUM($H78:$I78))),"")</f>
        <v/>
      </c>
      <c r="W78" t="str">
        <f>IF($B78=724,SUM($G78-(SUM($H78:$I78))),"")</f>
        <v/>
      </c>
      <c r="X78" t="str">
        <f>IF($B78=725,SUM($G78-(SUM($H78:$I78))),"")</f>
        <v/>
      </c>
      <c r="Y78" t="str">
        <f>IF($B78=726,SUM($G78-(SUM($H78:$I78))),"")</f>
        <v/>
      </c>
      <c r="Z78" t="str">
        <f>IF($B78=727,SUM($G78-(SUM($H78:$I78))),"")</f>
        <v/>
      </c>
      <c r="AA78" t="str">
        <f>IF($B78=728,SUM($G78-(SUM($H78:$I78))),"")</f>
        <v/>
      </c>
      <c r="AB78" t="n">
        <f>IF($B78=729,SUM($G78-(SUM($H78:$I78))),"")</f>
        <v>0.0</v>
      </c>
      <c r="AC78" t="str">
        <f>IF($B78=730,SUM($G78-(SUM($H78:$I78))),"")</f>
        <v/>
      </c>
      <c r="AD78" t="str">
        <f>IF($B78=732,SUM($G78-(SUM($H78:$I78))),"")</f>
        <v/>
      </c>
      <c r="AE78" t="str">
        <f>IF($B78=733,SUM($G78-(SUM($H78:$I78))),"")</f>
        <v/>
      </c>
      <c r="AF78" t="str">
        <f>IF($B78=734,SUM($G78-(SUM($H78:$I78))),"")</f>
        <v/>
      </c>
      <c r="AG78" t="str">
        <f>IF($B78=705,SUM($G78-(SUM($H78:$I78))),"")</f>
        <v/>
      </c>
      <c r="AH78" t="str">
        <f>IF($B78=735,SUM($G78-(SUM($H78:$I78))),"")</f>
        <v/>
      </c>
      <c r="AI78" t="str">
        <f>IF($B78=736,SUM($G78-(SUM($H78:$I78))),"")</f>
        <v/>
      </c>
      <c r="AJ78" t="str">
        <f>IF($B78=737,SUM($G78-(SUM($H78:$I78))),"")</f>
        <v/>
      </c>
      <c r="AK78" t="str">
        <f>IF($B78=725,SUM($G78-(SUM($H78:$I78))),"")</f>
        <v/>
      </c>
      <c r="AL78" t="str">
        <f>IF($B78=735,SUM($G78-(SUM($H78:$I78))),"")</f>
        <v/>
      </c>
      <c r="AM78" t="str">
        <f>IF($B78=727,SUM($G78-(SUM($H78:$I78))),"")</f>
        <v/>
      </c>
      <c r="AN78" t="str">
        <f>IF($B78=718,SUM($G78-(SUM($H78:$I78))),"")</f>
        <v/>
      </c>
      <c r="AO78" t="str">
        <f>IF($B78=719,SUM($G78-(SUM($H78:$I78))),"")</f>
        <v/>
      </c>
      <c r="AP78" t="str">
        <f>IF($B78=717,SUM($G78-(SUM($H78:$I78))),"")</f>
        <v/>
      </c>
      <c r="AQ78" t="str">
        <f>IF($B78=722,SUM($G78-(SUM($H78:$I78))),"")</f>
        <v/>
      </c>
      <c r="AR78" t="str">
        <f>IF($B78=708,SUM($G78-(SUM($H78:$I78))),"")</f>
        <v/>
      </c>
      <c r="AS78" t="str">
        <f>IF($B78=701,SUM($G78-(SUM($H78:$I78))),"")</f>
        <v/>
      </c>
      <c r="AT78" t="str">
        <f>IF($B78=702,SUM($G78-(SUM($H78:$I78))),"")</f>
        <v/>
      </c>
      <c r="AU78" t="str">
        <f>IF($B78=731,SUM($G78-(SUM($H78:$I78))),"")</f>
        <v/>
      </c>
      <c r="AV78" t="str">
        <f>IF($B78=730,SUM($G78-(SUM($H78:$I78))),"")</f>
        <v/>
      </c>
    </row>
    <row r="79">
      <c r="B79" t="n" s="0">
        <v>733.0</v>
      </c>
      <c r="C79" t="s">
        <v>83</v>
      </c>
      <c r="D79" t="n">
        <f>D78+G79</f>
        <v>0.0</v>
      </c>
      <c r="F79" t="n">
        <f>SUM(H79:AV79)-G79</f>
        <v>0.0</v>
      </c>
      <c r="G79" s="2" t="n">
        <v>0.0</v>
      </c>
      <c r="H79" t="str">
        <f>IF(G79/23*3&gt;0,SUM(G79/23*3),"")</f>
        <v/>
      </c>
      <c r="I79" t="str">
        <f>IF(G79/23*3&lt;0,SUM(G79/23*3),"")</f>
        <v/>
      </c>
      <c r="J79" t="str">
        <f>IF($B79=707,SUM($G79-(SUM($H79:$I79))),"")</f>
        <v/>
      </c>
      <c r="K79" t="str">
        <f>IF($B79=706,SUM($G79-(SUM($H79:$I79))),"")</f>
        <v/>
      </c>
      <c r="L79" t="str">
        <f>IF($B79=703,SUM($G79-(SUM($H79:$I79))),"")</f>
        <v/>
      </c>
      <c r="M79" t="str">
        <f>IF($B79=704,SUM($G79-(SUM($H79:$I79))),"")</f>
        <v/>
      </c>
      <c r="N79" t="str">
        <f>IF($B79=709,SUM($G79-(SUM($H79:$I79))),"")</f>
        <v/>
      </c>
      <c r="O79" t="str">
        <f>IF($B79=738,SUM($G79-(SUM($H79:$I79))),"")</f>
        <v/>
      </c>
      <c r="P79" t="str">
        <f>IF($B79=739,SUM($G79-(SUM($H79:$I79))),"")</f>
        <v/>
      </c>
      <c r="Q79" t="str">
        <f>IF($B79=714,SUM($G79-(SUM($H79:$I79))),"")</f>
        <v/>
      </c>
      <c r="R79" t="str">
        <f>IF($B79=710,SUM($G79-(SUM($H79:$I79))),"")</f>
        <v/>
      </c>
      <c r="S79" t="str">
        <f>IF($B79=711,SUM($G79-(SUM($H79:$I79))),"")</f>
        <v/>
      </c>
      <c r="T79" t="str">
        <f>IF($B79=712,SUM($G79-(SUM($H79:$I79))),"")</f>
        <v/>
      </c>
      <c r="U79" t="str">
        <f>IF($B79=713,SUM($G79-(SUM($H79:$I79))),"")</f>
        <v/>
      </c>
      <c r="V79" t="str">
        <f>IF($B79=715,SUM($G79-(SUM($H79:$I79))),"")</f>
        <v/>
      </c>
      <c r="W79" t="str">
        <f>IF($B79=724,SUM($G79-(SUM($H79:$I79))),"")</f>
        <v/>
      </c>
      <c r="X79" t="str">
        <f>IF($B79=725,SUM($G79-(SUM($H79:$I79))),"")</f>
        <v/>
      </c>
      <c r="Y79" t="str">
        <f>IF($B79=726,SUM($G79-(SUM($H79:$I79))),"")</f>
        <v/>
      </c>
      <c r="Z79" t="str">
        <f>IF($B79=727,SUM($G79-(SUM($H79:$I79))),"")</f>
        <v/>
      </c>
      <c r="AA79" t="str">
        <f>IF($B79=728,SUM($G79-(SUM($H79:$I79))),"")</f>
        <v/>
      </c>
      <c r="AB79" t="str">
        <f>IF($B79=729,SUM($G79-(SUM($H79:$I79))),"")</f>
        <v/>
      </c>
      <c r="AC79" t="str">
        <f>IF($B79=730,SUM($G79-(SUM($H79:$I79))),"")</f>
        <v/>
      </c>
      <c r="AD79" t="str">
        <f>IF($B79=732,SUM($G79-(SUM($H79:$I79))),"")</f>
        <v/>
      </c>
      <c r="AE79" t="n">
        <f>IF($B79=733,SUM($G79-(SUM($H79:$I79))),"")</f>
        <v>0.0</v>
      </c>
      <c r="AF79" t="str">
        <f>IF($B79=734,SUM($G79-(SUM($H79:$I79))),"")</f>
        <v/>
      </c>
      <c r="AG79" t="str">
        <f>IF($B79=705,SUM($G79-(SUM($H79:$I79))),"")</f>
        <v/>
      </c>
      <c r="AH79" t="str">
        <f>IF($B79=735,SUM($G79-(SUM($H79:$I79))),"")</f>
        <v/>
      </c>
      <c r="AI79" t="str">
        <f>IF($B79=736,SUM($G79-(SUM($H79:$I79))),"")</f>
        <v/>
      </c>
      <c r="AJ79" t="str">
        <f>IF($B79=737,SUM($G79-(SUM($H79:$I79))),"")</f>
        <v/>
      </c>
      <c r="AK79" t="str">
        <f>IF($B79=725,SUM($G79-(SUM($H79:$I79))),"")</f>
        <v/>
      </c>
      <c r="AL79" t="str">
        <f>IF($B79=735,SUM($G79-(SUM($H79:$I79))),"")</f>
        <v/>
      </c>
      <c r="AM79" t="str">
        <f>IF($B79=727,SUM($G79-(SUM($H79:$I79))),"")</f>
        <v/>
      </c>
      <c r="AN79" t="str">
        <f>IF($B79=718,SUM($G79-(SUM($H79:$I79))),"")</f>
        <v/>
      </c>
      <c r="AO79" t="str">
        <f>IF($B79=719,SUM($G79-(SUM($H79:$I79))),"")</f>
        <v/>
      </c>
      <c r="AP79" t="str">
        <f>IF($B79=717,SUM($G79-(SUM($H79:$I79))),"")</f>
        <v/>
      </c>
      <c r="AQ79" t="str">
        <f>IF($B79=722,SUM($G79-(SUM($H79:$I79))),"")</f>
        <v/>
      </c>
      <c r="AR79" t="str">
        <f>IF($B79=708,SUM($G79-(SUM($H79:$I79))),"")</f>
        <v/>
      </c>
      <c r="AS79" t="str">
        <f>IF($B79=701,SUM($G79-(SUM($H79:$I79))),"")</f>
        <v/>
      </c>
      <c r="AT79" t="str">
        <f>IF($B79=702,SUM($G79-(SUM($H79:$I79))),"")</f>
        <v/>
      </c>
      <c r="AU79" t="str">
        <f>IF($B79=731,SUM($G79-(SUM($H79:$I79))),"")</f>
        <v/>
      </c>
      <c r="AV79" t="str">
        <f>IF($B79=730,SUM($G79-(SUM($H79:$I79))),"")</f>
        <v/>
      </c>
    </row>
    <row r="80">
      <c r="B80" t="n" s="0">
        <v>734.0</v>
      </c>
      <c r="C80" t="s">
        <v>75</v>
      </c>
      <c r="D80" t="n">
        <f>D79+G80</f>
        <v>0.0</v>
      </c>
      <c r="F80" t="n">
        <f>SUM(H80:AV80)-G80</f>
        <v>0.0</v>
      </c>
      <c r="G80" s="2" t="n">
        <v>0.0</v>
      </c>
      <c r="H80" t="str">
        <f>IF(G80/23*3&gt;0,SUM(G80/23*3),"")</f>
        <v/>
      </c>
      <c r="I80" t="str">
        <f>IF(G80/23*3&lt;0,SUM(G80/23*3),"")</f>
        <v/>
      </c>
      <c r="J80" t="str">
        <f>IF($B80=707,SUM($G80-(SUM($H80:$I80))),"")</f>
        <v/>
      </c>
      <c r="K80" t="str">
        <f>IF($B80=706,SUM($G80-(SUM($H80:$I80))),"")</f>
        <v/>
      </c>
      <c r="L80" t="str">
        <f>IF($B80=703,SUM($G80-(SUM($H80:$I80))),"")</f>
        <v/>
      </c>
      <c r="M80" t="str">
        <f>IF($B80=704,SUM($G80-(SUM($H80:$I80))),"")</f>
        <v/>
      </c>
      <c r="N80" t="str">
        <f>IF($B80=709,SUM($G80-(SUM($H80:$I80))),"")</f>
        <v/>
      </c>
      <c r="O80" t="str">
        <f>IF($B80=738,SUM($G80-(SUM($H80:$I80))),"")</f>
        <v/>
      </c>
      <c r="P80" t="str">
        <f>IF($B80=739,SUM($G80-(SUM($H80:$I80))),"")</f>
        <v/>
      </c>
      <c r="Q80" t="str">
        <f>IF($B80=714,SUM($G80-(SUM($H80:$I80))),"")</f>
        <v/>
      </c>
      <c r="R80" t="str">
        <f>IF($B80=710,SUM($G80-(SUM($H80:$I80))),"")</f>
        <v/>
      </c>
      <c r="S80" t="str">
        <f>IF($B80=711,SUM($G80-(SUM($H80:$I80))),"")</f>
        <v/>
      </c>
      <c r="T80" t="str">
        <f>IF($B80=712,SUM($G80-(SUM($H80:$I80))),"")</f>
        <v/>
      </c>
      <c r="U80" t="str">
        <f>IF($B80=713,SUM($G80-(SUM($H80:$I80))),"")</f>
        <v/>
      </c>
      <c r="V80" t="str">
        <f>IF($B80=715,SUM($G80-(SUM($H80:$I80))),"")</f>
        <v/>
      </c>
      <c r="W80" t="str">
        <f>IF($B80=724,SUM($G80-(SUM($H80:$I80))),"")</f>
        <v/>
      </c>
      <c r="X80" t="str">
        <f>IF($B80=725,SUM($G80-(SUM($H80:$I80))),"")</f>
        <v/>
      </c>
      <c r="Y80" t="str">
        <f>IF($B80=726,SUM($G80-(SUM($H80:$I80))),"")</f>
        <v/>
      </c>
      <c r="Z80" t="str">
        <f>IF($B80=727,SUM($G80-(SUM($H80:$I80))),"")</f>
        <v/>
      </c>
      <c r="AA80" t="str">
        <f>IF($B80=728,SUM($G80-(SUM($H80:$I80))),"")</f>
        <v/>
      </c>
      <c r="AB80" t="str">
        <f>IF($B80=729,SUM($G80-(SUM($H80:$I80))),"")</f>
        <v/>
      </c>
      <c r="AC80" t="str">
        <f>IF($B80=730,SUM($G80-(SUM($H80:$I80))),"")</f>
        <v/>
      </c>
      <c r="AD80" t="str">
        <f>IF($B80=732,SUM($G80-(SUM($H80:$I80))),"")</f>
        <v/>
      </c>
      <c r="AE80" t="str">
        <f>IF($B80=733,SUM($G80-(SUM($H80:$I80))),"")</f>
        <v/>
      </c>
      <c r="AF80" t="n">
        <f>IF($B80=734,SUM($G80-(SUM($H80:$I80))),"")</f>
        <v>0.0</v>
      </c>
      <c r="AG80" t="str">
        <f>IF($B80=705,SUM($G80-(SUM($H80:$I80))),"")</f>
        <v/>
      </c>
      <c r="AH80" t="str">
        <f>IF($B80=735,SUM($G80-(SUM($H80:$I80))),"")</f>
        <v/>
      </c>
      <c r="AI80" t="str">
        <f>IF($B80=736,SUM($G80-(SUM($H80:$I80))),"")</f>
        <v/>
      </c>
      <c r="AJ80" t="str">
        <f>IF($B80=737,SUM($G80-(SUM($H80:$I80))),"")</f>
        <v/>
      </c>
      <c r="AK80" t="str">
        <f>IF($B80=725,SUM($G80-(SUM($H80:$I80))),"")</f>
        <v/>
      </c>
      <c r="AL80" t="str">
        <f>IF($B80=735,SUM($G80-(SUM($H80:$I80))),"")</f>
        <v/>
      </c>
      <c r="AM80" t="str">
        <f>IF($B80=727,SUM($G80-(SUM($H80:$I80))),"")</f>
        <v/>
      </c>
      <c r="AN80" t="str">
        <f>IF($B80=718,SUM($G80-(SUM($H80:$I80))),"")</f>
        <v/>
      </c>
      <c r="AO80" t="str">
        <f>IF($B80=719,SUM($G80-(SUM($H80:$I80))),"")</f>
        <v/>
      </c>
      <c r="AP80" t="str">
        <f>IF($B80=717,SUM($G80-(SUM($H80:$I80))),"")</f>
        <v/>
      </c>
      <c r="AQ80" t="str">
        <f>IF($B80=722,SUM($G80-(SUM($H80:$I80))),"")</f>
        <v/>
      </c>
      <c r="AR80" t="str">
        <f>IF($B80=708,SUM($G80-(SUM($H80:$I80))),"")</f>
        <v/>
      </c>
      <c r="AS80" t="str">
        <f>IF($B80=701,SUM($G80-(SUM($H80:$I80))),"")</f>
        <v/>
      </c>
      <c r="AT80" t="str">
        <f>IF($B80=702,SUM($G80-(SUM($H80:$I80))),"")</f>
        <v/>
      </c>
      <c r="AU80" t="str">
        <f>IF($B80=731,SUM($G80-(SUM($H80:$I80))),"")</f>
        <v/>
      </c>
      <c r="AV80" t="str">
        <f>IF($B80=730,SUM($G80-(SUM($H80:$I80))),"")</f>
        <v/>
      </c>
    </row>
    <row r="81">
      <c r="B81" t="n" s="0">
        <v>734.0</v>
      </c>
      <c r="C81" t="s">
        <v>75</v>
      </c>
      <c r="D81" t="n">
        <f>D80+G81</f>
        <v>0.0</v>
      </c>
      <c r="F81" t="n">
        <f>SUM(H81:AV81)-G81</f>
        <v>0.0</v>
      </c>
      <c r="G81" s="2" t="n">
        <v>0.0</v>
      </c>
      <c r="H81" t="str">
        <f>IF(G81/23*3&gt;0,SUM(G81/23*3),"")</f>
        <v/>
      </c>
      <c r="I81" t="str">
        <f>IF(G81/23*3&lt;0,SUM(G81/23*3),"")</f>
        <v/>
      </c>
      <c r="J81" t="str">
        <f>IF($B81=707,SUM($G81-(SUM($H81:$I81))),"")</f>
        <v/>
      </c>
      <c r="K81" t="str">
        <f>IF($B81=706,SUM($G81-(SUM($H81:$I81))),"")</f>
        <v/>
      </c>
      <c r="L81" t="str">
        <f>IF($B81=703,SUM($G81-(SUM($H81:$I81))),"")</f>
        <v/>
      </c>
      <c r="M81" t="str">
        <f>IF($B81=704,SUM($G81-(SUM($H81:$I81))),"")</f>
        <v/>
      </c>
      <c r="N81" t="str">
        <f>IF($B81=709,SUM($G81-(SUM($H81:$I81))),"")</f>
        <v/>
      </c>
      <c r="O81" t="str">
        <f>IF($B81=738,SUM($G81-(SUM($H81:$I81))),"")</f>
        <v/>
      </c>
      <c r="P81" t="str">
        <f>IF($B81=739,SUM($G81-(SUM($H81:$I81))),"")</f>
        <v/>
      </c>
      <c r="Q81" t="str">
        <f>IF($B81=714,SUM($G81-(SUM($H81:$I81))),"")</f>
        <v/>
      </c>
      <c r="R81" t="str">
        <f>IF($B81=710,SUM($G81-(SUM($H81:$I81))),"")</f>
        <v/>
      </c>
      <c r="S81" t="str">
        <f>IF($B81=711,SUM($G81-(SUM($H81:$I81))),"")</f>
        <v/>
      </c>
      <c r="T81" t="str">
        <f>IF($B81=712,SUM($G81-(SUM($H81:$I81))),"")</f>
        <v/>
      </c>
      <c r="U81" t="str">
        <f>IF($B81=713,SUM($G81-(SUM($H81:$I81))),"")</f>
        <v/>
      </c>
      <c r="V81" t="str">
        <f>IF($B81=715,SUM($G81-(SUM($H81:$I81))),"")</f>
        <v/>
      </c>
      <c r="W81" t="str">
        <f>IF($B81=724,SUM($G81-(SUM($H81:$I81))),"")</f>
        <v/>
      </c>
      <c r="X81" t="str">
        <f>IF($B81=725,SUM($G81-(SUM($H81:$I81))),"")</f>
        <v/>
      </c>
      <c r="Y81" t="str">
        <f>IF($B81=726,SUM($G81-(SUM($H81:$I81))),"")</f>
        <v/>
      </c>
      <c r="Z81" t="str">
        <f>IF($B81=727,SUM($G81-(SUM($H81:$I81))),"")</f>
        <v/>
      </c>
      <c r="AA81" t="str">
        <f>IF($B81=728,SUM($G81-(SUM($H81:$I81))),"")</f>
        <v/>
      </c>
      <c r="AB81" t="str">
        <f>IF($B81=729,SUM($G81-(SUM($H81:$I81))),"")</f>
        <v/>
      </c>
      <c r="AC81" t="str">
        <f>IF($B81=730,SUM($G81-(SUM($H81:$I81))),"")</f>
        <v/>
      </c>
      <c r="AD81" t="str">
        <f>IF($B81=732,SUM($G81-(SUM($H81:$I81))),"")</f>
        <v/>
      </c>
      <c r="AE81" t="str">
        <f>IF($B81=733,SUM($G81-(SUM($H81:$I81))),"")</f>
        <v/>
      </c>
      <c r="AF81" t="n">
        <f>IF($B81=734,SUM($G81-(SUM($H81:$I81))),"")</f>
        <v>0.0</v>
      </c>
      <c r="AG81" t="str">
        <f>IF($B81=705,SUM($G81-(SUM($H81:$I81))),"")</f>
        <v/>
      </c>
      <c r="AH81" t="str">
        <f>IF($B81=735,SUM($G81-(SUM($H81:$I81))),"")</f>
        <v/>
      </c>
      <c r="AI81" t="str">
        <f>IF($B81=736,SUM($G81-(SUM($H81:$I81))),"")</f>
        <v/>
      </c>
      <c r="AJ81" t="str">
        <f>IF($B81=737,SUM($G81-(SUM($H81:$I81))),"")</f>
        <v/>
      </c>
      <c r="AK81" t="str">
        <f>IF($B81=725,SUM($G81-(SUM($H81:$I81))),"")</f>
        <v/>
      </c>
      <c r="AL81" t="str">
        <f>IF($B81=735,SUM($G81-(SUM($H81:$I81))),"")</f>
        <v/>
      </c>
      <c r="AM81" t="str">
        <f>IF($B81=727,SUM($G81-(SUM($H81:$I81))),"")</f>
        <v/>
      </c>
      <c r="AN81" t="str">
        <f>IF($B81=718,SUM($G81-(SUM($H81:$I81))),"")</f>
        <v/>
      </c>
      <c r="AO81" t="str">
        <f>IF($B81=719,SUM($G81-(SUM($H81:$I81))),"")</f>
        <v/>
      </c>
      <c r="AP81" t="str">
        <f>IF($B81=717,SUM($G81-(SUM($H81:$I81))),"")</f>
        <v/>
      </c>
      <c r="AQ81" t="str">
        <f>IF($B81=722,SUM($G81-(SUM($H81:$I81))),"")</f>
        <v/>
      </c>
      <c r="AR81" t="str">
        <f>IF($B81=708,SUM($G81-(SUM($H81:$I81))),"")</f>
        <v/>
      </c>
      <c r="AS81" t="str">
        <f>IF($B81=701,SUM($G81-(SUM($H81:$I81))),"")</f>
        <v/>
      </c>
      <c r="AT81" t="str">
        <f>IF($B81=702,SUM($G81-(SUM($H81:$I81))),"")</f>
        <v/>
      </c>
      <c r="AU81" t="str">
        <f>IF($B81=731,SUM($G81-(SUM($H81:$I81))),"")</f>
        <v/>
      </c>
      <c r="AV81" t="str">
        <f>IF($B81=730,SUM($G81-(SUM($H81:$I81))),"")</f>
        <v/>
      </c>
    </row>
    <row r="82">
      <c r="B82" t="n" s="0">
        <v>734.0</v>
      </c>
      <c r="C82" t="s">
        <v>75</v>
      </c>
      <c r="D82" t="n">
        <f>D81+G82</f>
        <v>0.0</v>
      </c>
      <c r="F82" t="n">
        <f>SUM(H82:AV82)-G82</f>
        <v>0.0</v>
      </c>
      <c r="G82" s="2" t="n">
        <v>0.0</v>
      </c>
      <c r="H82" t="str">
        <f>IF(G82/23*3&gt;0,SUM(G82/23*3),"")</f>
        <v/>
      </c>
      <c r="I82" t="str">
        <f>IF(G82/23*3&lt;0,SUM(G82/23*3),"")</f>
        <v/>
      </c>
      <c r="J82" t="str">
        <f>IF($B82=707,SUM($G82-(SUM($H82:$I82))),"")</f>
        <v/>
      </c>
      <c r="K82" t="str">
        <f>IF($B82=706,SUM($G82-(SUM($H82:$I82))),"")</f>
        <v/>
      </c>
      <c r="L82" t="str">
        <f>IF($B82=703,SUM($G82-(SUM($H82:$I82))),"")</f>
        <v/>
      </c>
      <c r="M82" t="str">
        <f>IF($B82=704,SUM($G82-(SUM($H82:$I82))),"")</f>
        <v/>
      </c>
      <c r="N82" t="str">
        <f>IF($B82=709,SUM($G82-(SUM($H82:$I82))),"")</f>
        <v/>
      </c>
      <c r="O82" t="str">
        <f>IF($B82=738,SUM($G82-(SUM($H82:$I82))),"")</f>
        <v/>
      </c>
      <c r="P82" t="str">
        <f>IF($B82=739,SUM($G82-(SUM($H82:$I82))),"")</f>
        <v/>
      </c>
      <c r="Q82" t="str">
        <f>IF($B82=714,SUM($G82-(SUM($H82:$I82))),"")</f>
        <v/>
      </c>
      <c r="R82" t="str">
        <f>IF($B82=710,SUM($G82-(SUM($H82:$I82))),"")</f>
        <v/>
      </c>
      <c r="S82" t="str">
        <f>IF($B82=711,SUM($G82-(SUM($H82:$I82))),"")</f>
        <v/>
      </c>
      <c r="T82" t="str">
        <f>IF($B82=712,SUM($G82-(SUM($H82:$I82))),"")</f>
        <v/>
      </c>
      <c r="U82" t="str">
        <f>IF($B82=713,SUM($G82-(SUM($H82:$I82))),"")</f>
        <v/>
      </c>
      <c r="V82" t="str">
        <f>IF($B82=715,SUM($G82-(SUM($H82:$I82))),"")</f>
        <v/>
      </c>
      <c r="W82" t="str">
        <f>IF($B82=724,SUM($G82-(SUM($H82:$I82))),"")</f>
        <v/>
      </c>
      <c r="X82" t="str">
        <f>IF($B82=725,SUM($G82-(SUM($H82:$I82))),"")</f>
        <v/>
      </c>
      <c r="Y82" t="str">
        <f>IF($B82=726,SUM($G82-(SUM($H82:$I82))),"")</f>
        <v/>
      </c>
      <c r="Z82" t="str">
        <f>IF($B82=727,SUM($G82-(SUM($H82:$I82))),"")</f>
        <v/>
      </c>
      <c r="AA82" t="str">
        <f>IF($B82=728,SUM($G82-(SUM($H82:$I82))),"")</f>
        <v/>
      </c>
      <c r="AB82" t="str">
        <f>IF($B82=729,SUM($G82-(SUM($H82:$I82))),"")</f>
        <v/>
      </c>
      <c r="AC82" t="str">
        <f>IF($B82=730,SUM($G82-(SUM($H82:$I82))),"")</f>
        <v/>
      </c>
      <c r="AD82" t="str">
        <f>IF($B82=732,SUM($G82-(SUM($H82:$I82))),"")</f>
        <v/>
      </c>
      <c r="AE82" t="str">
        <f>IF($B82=733,SUM($G82-(SUM($H82:$I82))),"")</f>
        <v/>
      </c>
      <c r="AF82" t="n">
        <f>IF($B82=734,SUM($G82-(SUM($H82:$I82))),"")</f>
        <v>0.0</v>
      </c>
      <c r="AG82" t="str">
        <f>IF($B82=705,SUM($G82-(SUM($H82:$I82))),"")</f>
        <v/>
      </c>
      <c r="AH82" t="str">
        <f>IF($B82=735,SUM($G82-(SUM($H82:$I82))),"")</f>
        <v/>
      </c>
      <c r="AI82" t="str">
        <f>IF($B82=736,SUM($G82-(SUM($H82:$I82))),"")</f>
        <v/>
      </c>
      <c r="AJ82" t="str">
        <f>IF($B82=737,SUM($G82-(SUM($H82:$I82))),"")</f>
        <v/>
      </c>
      <c r="AK82" t="str">
        <f>IF($B82=725,SUM($G82-(SUM($H82:$I82))),"")</f>
        <v/>
      </c>
      <c r="AL82" t="str">
        <f>IF($B82=735,SUM($G82-(SUM($H82:$I82))),"")</f>
        <v/>
      </c>
      <c r="AM82" t="str">
        <f>IF($B82=727,SUM($G82-(SUM($H82:$I82))),"")</f>
        <v/>
      </c>
      <c r="AN82" t="str">
        <f>IF($B82=718,SUM($G82-(SUM($H82:$I82))),"")</f>
        <v/>
      </c>
      <c r="AO82" t="str">
        <f>IF($B82=719,SUM($G82-(SUM($H82:$I82))),"")</f>
        <v/>
      </c>
      <c r="AP82" t="str">
        <f>IF($B82=717,SUM($G82-(SUM($H82:$I82))),"")</f>
        <v/>
      </c>
      <c r="AQ82" t="str">
        <f>IF($B82=722,SUM($G82-(SUM($H82:$I82))),"")</f>
        <v/>
      </c>
      <c r="AR82" t="str">
        <f>IF($B82=708,SUM($G82-(SUM($H82:$I82))),"")</f>
        <v/>
      </c>
      <c r="AS82" t="str">
        <f>IF($B82=701,SUM($G82-(SUM($H82:$I82))),"")</f>
        <v/>
      </c>
      <c r="AT82" t="str">
        <f>IF($B82=702,SUM($G82-(SUM($H82:$I82))),"")</f>
        <v/>
      </c>
      <c r="AU82" t="str">
        <f>IF($B82=731,SUM($G82-(SUM($H82:$I82))),"")</f>
        <v/>
      </c>
      <c r="AV82" t="str">
        <f>IF($B82=730,SUM($G82-(SUM($H82:$I82))),"")</f>
        <v/>
      </c>
    </row>
    <row r="83">
      <c r="B83" t="n" s="0">
        <v>724.0</v>
      </c>
      <c r="C83" t="s">
        <v>66</v>
      </c>
      <c r="D83" t="n">
        <f>D82+G83</f>
        <v>0.0</v>
      </c>
      <c r="F83" t="n">
        <f>SUM(H83:AV83)-G83</f>
        <v>0.0</v>
      </c>
      <c r="G83" s="2" t="n">
        <v>0.0</v>
      </c>
      <c r="H83" t="str">
        <f>IF(G83/23*3&gt;0,SUM(G83/23*3),"")</f>
        <v/>
      </c>
      <c r="J83" t="str">
        <f>IF($B83=707,SUM($G83-(SUM($H83:$I83))),"")</f>
        <v/>
      </c>
      <c r="K83" t="str">
        <f>IF($B83=706,SUM($G83-(SUM($H83:$I83))),"")</f>
        <v/>
      </c>
      <c r="L83" t="str">
        <f>IF($B83=703,SUM($G83-(SUM($H83:$I83))),"")</f>
        <v/>
      </c>
      <c r="M83" t="str">
        <f>IF($B83=704,SUM($G83-(SUM($H83:$I83))),"")</f>
        <v/>
      </c>
      <c r="N83" t="str">
        <f>IF($B83=709,SUM($G83-(SUM($H83:$I83))),"")</f>
        <v/>
      </c>
      <c r="O83" t="str">
        <f>IF($B83=738,SUM($G83-(SUM($H83:$I83))),"")</f>
        <v/>
      </c>
      <c r="P83" t="str">
        <f>IF($B83=739,SUM($G83-(SUM($H83:$I83))),"")</f>
        <v/>
      </c>
      <c r="Q83" t="str">
        <f>IF($B83=714,SUM($G83-(SUM($H83:$I83))),"")</f>
        <v/>
      </c>
      <c r="R83" t="str">
        <f>IF($B83=710,SUM($G83-(SUM($H83:$I83))),"")</f>
        <v/>
      </c>
      <c r="S83" t="str">
        <f>IF($B83=711,SUM($G83-(SUM($H83:$I83))),"")</f>
        <v/>
      </c>
      <c r="T83" t="str">
        <f>IF($B83=712,SUM($G83-(SUM($H83:$I83))),"")</f>
        <v/>
      </c>
      <c r="U83" t="str">
        <f>IF($B83=713,SUM($G83-(SUM($H83:$I83))),"")</f>
        <v/>
      </c>
      <c r="V83" t="str">
        <f>IF($B83=715,SUM($G83-(SUM($H83:$I83))),"")</f>
        <v/>
      </c>
      <c r="W83" t="n">
        <f>IF($B83=724,SUM($G83-(SUM($H83:$I83))),"")</f>
        <v>0.0</v>
      </c>
      <c r="X83" t="str">
        <f>IF($B83=725,SUM($G83-(SUM($H83:$I83))),"")</f>
        <v/>
      </c>
      <c r="Y83" t="str">
        <f>IF($B83=726,SUM($G83-(SUM($H83:$I83))),"")</f>
        <v/>
      </c>
      <c r="Z83" t="str">
        <f>IF($B83=727,SUM($G83-(SUM($H83:$I83))),"")</f>
        <v/>
      </c>
      <c r="AA83" t="str">
        <f>IF($B83=728,SUM($G83-(SUM($H83:$I83))),"")</f>
        <v/>
      </c>
      <c r="AB83" t="str">
        <f>IF($B83=729,SUM($G83-(SUM($H83:$I83))),"")</f>
        <v/>
      </c>
      <c r="AC83" t="str">
        <f>IF($B83=730,SUM($G83-(SUM($H83:$I83))),"")</f>
        <v/>
      </c>
      <c r="AD83" t="str">
        <f>IF($B83=732,SUM($G83-(SUM($H83:$I83))),"")</f>
        <v/>
      </c>
      <c r="AE83" t="str">
        <f>IF($B83=733,SUM($G83-(SUM($H83:$I83))),"")</f>
        <v/>
      </c>
      <c r="AF83" t="str">
        <f>IF($B83=734,SUM($G83-(SUM($H83:$I83))),"")</f>
        <v/>
      </c>
      <c r="AG83" t="str">
        <f>IF($B83=705,SUM($G83-(SUM($H83:$I83))),"")</f>
        <v/>
      </c>
      <c r="AH83" t="str">
        <f>IF($B83=735,SUM($G83-(SUM($H83:$I83))),"")</f>
        <v/>
      </c>
      <c r="AI83" t="str">
        <f>IF($B83=736,SUM($G83-(SUM($H83:$I83))),"")</f>
        <v/>
      </c>
      <c r="AJ83" t="str">
        <f>IF($B83=737,SUM($G83-(SUM($H83:$I83))),"")</f>
        <v/>
      </c>
      <c r="AK83" t="str">
        <f>IF($B83=725,SUM($G83-(SUM($H83:$I83))),"")</f>
        <v/>
      </c>
      <c r="AL83" t="str">
        <f>IF($B83=735,SUM($G83-(SUM($H83:$I83))),"")</f>
        <v/>
      </c>
      <c r="AM83" t="str">
        <f>IF($B83=727,SUM($G83-(SUM($H83:$I83))),"")</f>
        <v/>
      </c>
      <c r="AN83" t="str">
        <f>IF($B83=718,SUM($G83-(SUM($H83:$I83))),"")</f>
        <v/>
      </c>
      <c r="AO83" t="str">
        <f>IF($B83=719,SUM($G83-(SUM($H83:$I83))),"")</f>
        <v/>
      </c>
      <c r="AP83" t="str">
        <f>IF($B83=717,SUM($G83-(SUM($H83:$I83))),"")</f>
        <v/>
      </c>
      <c r="AQ83" t="str">
        <f>IF($B83=722,SUM($G83-(SUM($H83:$I83))),"")</f>
        <v/>
      </c>
      <c r="AR83" t="str">
        <f>IF($B83=708,SUM($G83-(SUM($H83:$I83))),"")</f>
        <v/>
      </c>
      <c r="AS83" t="str">
        <f>IF($B83=701,SUM($G83-(SUM($H83:$I83))),"")</f>
        <v/>
      </c>
      <c r="AT83" t="str">
        <f>IF($B83=702,SUM($G83-(SUM($H83:$I83))),"")</f>
        <v/>
      </c>
      <c r="AU83" t="str">
        <f>IF($B83=731,SUM($G83-(SUM($H83:$I83))),"")</f>
        <v/>
      </c>
      <c r="AV83" t="str">
        <f>IF($B83=730,SUM($G83-(SUM($H83:$I83))),"")</f>
        <v/>
      </c>
    </row>
    <row r="84">
      <c r="B84" t="n" s="0">
        <v>710.0</v>
      </c>
      <c r="C84" t="s">
        <v>61</v>
      </c>
      <c r="D84" t="n">
        <f>D83+G84</f>
        <v>0.0</v>
      </c>
      <c r="F84" t="n">
        <f>SUM(H84:AV84)-G84</f>
        <v>0.0</v>
      </c>
      <c r="G84" s="2" t="n">
        <v>0.0</v>
      </c>
      <c r="H84" t="str">
        <f>IF(G84/23*3&gt;0,SUM(G84/23*3),"")</f>
        <v/>
      </c>
      <c r="J84" t="str">
        <f>IF($B84=707,SUM($G84-(SUM($H84:$I84))),"")</f>
        <v/>
      </c>
      <c r="K84" t="str">
        <f>IF($B84=706,SUM($G84-(SUM($H84:$I84))),"")</f>
        <v/>
      </c>
      <c r="L84" t="str">
        <f>IF($B84=703,SUM($G84-(SUM($H84:$I84))),"")</f>
        <v/>
      </c>
      <c r="M84" t="str">
        <f>IF($B84=704,SUM($G84-(SUM($H84:$I84))),"")</f>
        <v/>
      </c>
      <c r="N84" t="str">
        <f>IF($B84=709,SUM($G84-(SUM($H84:$I84))),"")</f>
        <v/>
      </c>
      <c r="O84" t="str">
        <f>IF($B84=738,SUM($G84-(SUM($H84:$I84))),"")</f>
        <v/>
      </c>
      <c r="P84" t="str">
        <f>IF($B84=739,SUM($G84-(SUM($H84:$I84))),"")</f>
        <v/>
      </c>
      <c r="Q84" t="str">
        <f>IF($B84=714,SUM($G84-(SUM($H84:$I84))),"")</f>
        <v/>
      </c>
      <c r="R84" t="n">
        <f>IF($B84=710,SUM($G84-(SUM($H84:$I84))),"")</f>
        <v>0.0</v>
      </c>
      <c r="S84" t="str">
        <f>IF($B84=711,SUM($G84-(SUM($H84:$I84))),"")</f>
        <v/>
      </c>
      <c r="T84" t="str">
        <f>IF($B84=712,SUM($G84-(SUM($H84:$I84))),"")</f>
        <v/>
      </c>
      <c r="U84" t="str">
        <f>IF($B84=713,SUM($G84-(SUM($H84:$I84))),"")</f>
        <v/>
      </c>
      <c r="V84" t="str">
        <f>IF($B84=715,SUM($G84-(SUM($H84:$I84))),"")</f>
        <v/>
      </c>
      <c r="W84" t="str">
        <f>IF($B84=724,SUM($G84-(SUM($H84:$I84))),"")</f>
        <v/>
      </c>
      <c r="X84" t="str">
        <f>IF($B84=725,SUM($G84-(SUM($H84:$I84))),"")</f>
        <v/>
      </c>
      <c r="Y84" t="str">
        <f>IF($B84=726,SUM($G84-(SUM($H84:$I84))),"")</f>
        <v/>
      </c>
      <c r="Z84" t="str">
        <f>IF($B84=727,SUM($G84-(SUM($H84:$I84))),"")</f>
        <v/>
      </c>
      <c r="AA84" t="str">
        <f>IF($B84=728,SUM($G84-(SUM($H84:$I84))),"")</f>
        <v/>
      </c>
      <c r="AB84" t="str">
        <f>IF($B84=729,SUM($G84-(SUM($H84:$I84))),"")</f>
        <v/>
      </c>
      <c r="AC84" t="str">
        <f>IF($B84=730,SUM($G84-(SUM($H84:$I84))),"")</f>
        <v/>
      </c>
      <c r="AD84" t="str">
        <f>IF($B84=732,SUM($G84-(SUM($H84:$I84))),"")</f>
        <v/>
      </c>
      <c r="AE84" t="str">
        <f>IF($B84=733,SUM($G84-(SUM($H84:$I84))),"")</f>
        <v/>
      </c>
      <c r="AF84" t="str">
        <f>IF($B84=734,SUM($G84-(SUM($H84:$I84))),"")</f>
        <v/>
      </c>
      <c r="AG84" t="str">
        <f>IF($B84=705,SUM($G84-(SUM($H84:$I84))),"")</f>
        <v/>
      </c>
      <c r="AH84" t="str">
        <f>IF($B84=735,SUM($G84-(SUM($H84:$I84))),"")</f>
        <v/>
      </c>
      <c r="AI84" t="str">
        <f>IF($B84=736,SUM($G84-(SUM($H84:$I84))),"")</f>
        <v/>
      </c>
      <c r="AJ84" t="str">
        <f>IF($B84=737,SUM($G84-(SUM($H84:$I84))),"")</f>
        <v/>
      </c>
      <c r="AK84" t="str">
        <f>IF($B84=725,SUM($G84-(SUM($H84:$I84))),"")</f>
        <v/>
      </c>
      <c r="AL84" t="str">
        <f>IF($B84=735,SUM($G84-(SUM($H84:$I84))),"")</f>
        <v/>
      </c>
      <c r="AM84" t="str">
        <f>IF($B84=727,SUM($G84-(SUM($H84:$I84))),"")</f>
        <v/>
      </c>
      <c r="AN84" t="str">
        <f>IF($B84=718,SUM($G84-(SUM($H84:$I84))),"")</f>
        <v/>
      </c>
      <c r="AO84" t="str">
        <f>IF($B84=719,SUM($G84-(SUM($H84:$I84))),"")</f>
        <v/>
      </c>
      <c r="AP84" t="str">
        <f>IF($B84=717,SUM($G84-(SUM($H84:$I84))),"")</f>
        <v/>
      </c>
      <c r="AQ84" t="str">
        <f>IF($B84=722,SUM($G84-(SUM($H84:$I84))),"")</f>
        <v/>
      </c>
      <c r="AR84" t="str">
        <f>IF($B84=708,SUM($G84-(SUM($H84:$I84))),"")</f>
        <v/>
      </c>
      <c r="AS84" t="str">
        <f>IF($B84=701,SUM($G84-(SUM($H84:$I84))),"")</f>
        <v/>
      </c>
      <c r="AT84" t="str">
        <f>IF($B84=702,SUM($G84-(SUM($H84:$I84))),"")</f>
        <v/>
      </c>
      <c r="AU84" t="str">
        <f>IF($B84=731,SUM($G84-(SUM($H84:$I84))),"")</f>
        <v/>
      </c>
      <c r="AV84" t="str">
        <f>IF($B84=730,SUM($G84-(SUM($H84:$I84))),"")</f>
        <v/>
      </c>
    </row>
    <row r="85">
      <c r="B85" t="n" s="0">
        <v>711.0</v>
      </c>
      <c r="C85" t="s">
        <v>82</v>
      </c>
      <c r="D85" t="n">
        <f>D84+G85</f>
        <v>0.0</v>
      </c>
      <c r="F85" t="n">
        <f>SUM(H85:AV85)-G85</f>
        <v>0.0</v>
      </c>
      <c r="G85" s="2" t="n">
        <v>0.0</v>
      </c>
      <c r="H85" t="str">
        <f>IF(G85/23*3&gt;0,SUM(G85/23*3),"")</f>
        <v/>
      </c>
      <c r="I85" t="str">
        <f>IF(G85/23*3&lt;0,SUM(G85/23*3),"")</f>
        <v/>
      </c>
      <c r="J85" t="str">
        <f>IF($B85=707,SUM($G85-(SUM($H85:$I85))),"")</f>
        <v/>
      </c>
      <c r="K85" t="str">
        <f>IF($B85=706,SUM($G85-(SUM($H85:$I85))),"")</f>
        <v/>
      </c>
      <c r="L85" t="str">
        <f>IF($B85=703,SUM($G85-(SUM($H85:$I85))),"")</f>
        <v/>
      </c>
      <c r="M85" t="str">
        <f>IF($B85=704,SUM($G85-(SUM($H85:$I85))),"")</f>
        <v/>
      </c>
      <c r="N85" t="str">
        <f>IF($B85=709,SUM($G85-(SUM($H85:$I85))),"")</f>
        <v/>
      </c>
      <c r="O85" t="str">
        <f>IF($B85=738,SUM($G85-(SUM($H85:$I85))),"")</f>
        <v/>
      </c>
      <c r="P85" t="str">
        <f>IF($B85=739,SUM($G85-(SUM($H85:$I85))),"")</f>
        <v/>
      </c>
      <c r="Q85" t="str">
        <f>IF($B85=714,SUM($G85-(SUM($H85:$I85))),"")</f>
        <v/>
      </c>
      <c r="R85" t="str">
        <f>IF($B85=710,SUM($G85-(SUM($H85:$I85))),"")</f>
        <v/>
      </c>
      <c r="S85" t="n">
        <f>IF($B85=711,SUM($G85-(SUM($H85:$I85))),"")</f>
        <v>0.0</v>
      </c>
      <c r="T85" t="str">
        <f>IF($B85=712,SUM($G85-(SUM($H85:$I85))),"")</f>
        <v/>
      </c>
      <c r="U85" t="str">
        <f>IF($B85=713,SUM($G85-(SUM($H85:$I85))),"")</f>
        <v/>
      </c>
      <c r="V85" t="str">
        <f>IF($B85=715,SUM($G85-(SUM($H85:$I85))),"")</f>
        <v/>
      </c>
      <c r="W85" t="str">
        <f>IF($B85=724,SUM($G85-(SUM($H85:$I85))),"")</f>
        <v/>
      </c>
      <c r="X85" t="str">
        <f>IF($B85=725,SUM($G85-(SUM($H85:$I85))),"")</f>
        <v/>
      </c>
      <c r="Y85" t="str">
        <f>IF($B85=726,SUM($G85-(SUM($H85:$I85))),"")</f>
        <v/>
      </c>
      <c r="Z85" t="str">
        <f>IF($B85=727,SUM($G85-(SUM($H85:$I85))),"")</f>
        <v/>
      </c>
      <c r="AA85" t="str">
        <f>IF($B85=728,SUM($G85-(SUM($H85:$I85))),"")</f>
        <v/>
      </c>
      <c r="AB85" t="str">
        <f>IF($B85=729,SUM($G85-(SUM($H85:$I85))),"")</f>
        <v/>
      </c>
      <c r="AC85" t="str">
        <f>IF($B85=730,SUM($G85-(SUM($H85:$I85))),"")</f>
        <v/>
      </c>
      <c r="AD85" t="str">
        <f>IF($B85=732,SUM($G85-(SUM($H85:$I85))),"")</f>
        <v/>
      </c>
      <c r="AE85" t="str">
        <f>IF($B85=733,SUM($G85-(SUM($H85:$I85))),"")</f>
        <v/>
      </c>
      <c r="AF85" t="str">
        <f>IF($B85=734,SUM($G85-(SUM($H85:$I85))),"")</f>
        <v/>
      </c>
      <c r="AG85" t="str">
        <f>IF($B85=705,SUM($G85-(SUM($H85:$I85))),"")</f>
        <v/>
      </c>
      <c r="AH85" t="str">
        <f>IF($B85=735,SUM($G85-(SUM($H85:$I85))),"")</f>
        <v/>
      </c>
      <c r="AI85" t="str">
        <f>IF($B85=736,SUM($G85-(SUM($H85:$I85))),"")</f>
        <v/>
      </c>
      <c r="AJ85" t="str">
        <f>IF($B85=737,SUM($G85-(SUM($H85:$I85))),"")</f>
        <v/>
      </c>
      <c r="AK85" t="str">
        <f>IF($B85=725,SUM($G85-(SUM($H85:$I85))),"")</f>
        <v/>
      </c>
      <c r="AL85" t="str">
        <f>IF($B85=735,SUM($G85-(SUM($H85:$I85))),"")</f>
        <v/>
      </c>
      <c r="AM85" t="str">
        <f>IF($B85=727,SUM($G85-(SUM($H85:$I85))),"")</f>
        <v/>
      </c>
      <c r="AN85" t="str">
        <f>IF($B85=718,SUM($G85-(SUM($H85:$I85))),"")</f>
        <v/>
      </c>
      <c r="AO85" t="str">
        <f>IF($B85=719,SUM($G85-(SUM($H85:$I85))),"")</f>
        <v/>
      </c>
      <c r="AP85" t="str">
        <f>IF($B85=717,SUM($G85-(SUM($H85:$I85))),"")</f>
        <v/>
      </c>
      <c r="AQ85" t="str">
        <f>IF($B85=722,SUM($G85-(SUM($H85:$I85))),"")</f>
        <v/>
      </c>
      <c r="AR85" t="str">
        <f>IF($B85=708,SUM($G85-(SUM($H85:$I85))),"")</f>
        <v/>
      </c>
      <c r="AS85" t="str">
        <f>IF($B85=701,SUM($G85-(SUM($H85:$I85))),"")</f>
        <v/>
      </c>
      <c r="AT85" t="str">
        <f>IF($B85=702,SUM($G85-(SUM($H85:$I85))),"")</f>
        <v/>
      </c>
      <c r="AU85" t="str">
        <f>IF($B85=731,SUM($G85-(SUM($H85:$I85))),"")</f>
        <v/>
      </c>
      <c r="AV85" t="str">
        <f>IF($B85=730,SUM($G85-(SUM($H85:$I85))),"")</f>
        <v/>
      </c>
    </row>
    <row r="86">
      <c r="B86" t="n" s="0">
        <v>739.0</v>
      </c>
      <c r="C86" t="s">
        <v>84</v>
      </c>
      <c r="D86" t="n">
        <f>D85+G86</f>
        <v>0.0</v>
      </c>
      <c r="F86" t="n">
        <f>SUM(H86:AV86)-G86</f>
        <v>0.0</v>
      </c>
      <c r="G86" s="2" t="n">
        <v>0.0</v>
      </c>
      <c r="H86" t="str">
        <f>IF(G86/23*3&gt;0,SUM(G86/23*3),"")</f>
        <v/>
      </c>
      <c r="I86" t="n">
        <v>0.0</v>
      </c>
      <c r="J86" t="str">
        <f>IF($B86=707,SUM($G86-(SUM($H86:$I86))),"")</f>
        <v/>
      </c>
      <c r="K86" t="str">
        <f>IF($B86=706,SUM($G86-(SUM($H86:$I86))),"")</f>
        <v/>
      </c>
      <c r="L86" t="str">
        <f>IF($B86=703,SUM($G86-(SUM($H86:$I86))),"")</f>
        <v/>
      </c>
      <c r="M86" t="str">
        <f>IF($B86=704,SUM($G86-(SUM($H86:$I86))),"")</f>
        <v/>
      </c>
      <c r="N86" t="str">
        <f>IF($B86=709,SUM($G86-(SUM($H86:$I86))),"")</f>
        <v/>
      </c>
      <c r="O86" t="str">
        <f>IF($B86=738,SUM($G86-(SUM($H86:$I86))),"")</f>
        <v/>
      </c>
      <c r="P86" t="n">
        <f>IF($B86=739,SUM($G86-(SUM($H86:$I86))),"")</f>
        <v>0.0</v>
      </c>
      <c r="Q86" t="str">
        <f>IF($B86=714,SUM($G86-(SUM($H86:$I86))),"")</f>
        <v/>
      </c>
      <c r="R86" t="str">
        <f>IF($B86=710,SUM($G86-(SUM($H86:$I86))),"")</f>
        <v/>
      </c>
      <c r="S86" t="str">
        <f>IF($B86=711,SUM($G86-(SUM($H86:$I86))),"")</f>
        <v/>
      </c>
      <c r="T86" t="str">
        <f>IF($B86=712,SUM($G86-(SUM($H86:$I86))),"")</f>
        <v/>
      </c>
      <c r="U86" t="str">
        <f>IF($B86=713,SUM($G86-(SUM($H86:$I86))),"")</f>
        <v/>
      </c>
      <c r="V86" t="str">
        <f>IF($B86=715,SUM($G86-(SUM($H86:$I86))),"")</f>
        <v/>
      </c>
      <c r="W86" t="str">
        <f>IF($B86=724,SUM($G86-(SUM($H86:$I86))),"")</f>
        <v/>
      </c>
      <c r="X86" t="str">
        <f>IF($B86=725,SUM($G86-(SUM($H86:$I86))),"")</f>
        <v/>
      </c>
      <c r="Y86" t="str">
        <f>IF($B86=726,SUM($G86-(SUM($H86:$I86))),"")</f>
        <v/>
      </c>
      <c r="Z86" t="str">
        <f>IF($B86=727,SUM($G86-(SUM($H86:$I86))),"")</f>
        <v/>
      </c>
      <c r="AA86" t="str">
        <f>IF($B86=728,SUM($G86-(SUM($H86:$I86))),"")</f>
        <v/>
      </c>
      <c r="AB86" t="str">
        <f>IF($B86=729,SUM($G86-(SUM($H86:$I86))),"")</f>
        <v/>
      </c>
      <c r="AC86" t="str">
        <f>IF($B86=730,SUM($G86-(SUM($H86:$I86))),"")</f>
        <v/>
      </c>
      <c r="AD86" t="str">
        <f>IF($B86=732,SUM($G86-(SUM($H86:$I86))),"")</f>
        <v/>
      </c>
      <c r="AE86" t="str">
        <f>IF($B86=733,SUM($G86-(SUM($H86:$I86))),"")</f>
        <v/>
      </c>
      <c r="AF86" t="str">
        <f>IF($B86=734,SUM($G86-(SUM($H86:$I86))),"")</f>
        <v/>
      </c>
      <c r="AG86" t="str">
        <f>IF($B86=705,SUM($G86-(SUM($H86:$I86))),"")</f>
        <v/>
      </c>
      <c r="AH86" t="str">
        <f>IF($B86=735,SUM($G86-(SUM($H86:$I86))),"")</f>
        <v/>
      </c>
      <c r="AI86" t="str">
        <f>IF($B86=736,SUM($G86-(SUM($H86:$I86))),"")</f>
        <v/>
      </c>
      <c r="AJ86" t="str">
        <f>IF($B86=737,SUM($G86-(SUM($H86:$I86))),"")</f>
        <v/>
      </c>
      <c r="AK86" t="str">
        <f>IF($B86=725,SUM($G86-(SUM($H86:$I86))),"")</f>
        <v/>
      </c>
      <c r="AL86" t="str">
        <f>IF($B86=735,SUM($G86-(SUM($H86:$I86))),"")</f>
        <v/>
      </c>
      <c r="AM86" t="str">
        <f>IF($B86=727,SUM($G86-(SUM($H86:$I86))),"")</f>
        <v/>
      </c>
      <c r="AN86" t="str">
        <f>IF($B86=718,SUM($G86-(SUM($H86:$I86))),"")</f>
        <v/>
      </c>
      <c r="AO86" t="str">
        <f>IF($B86=719,SUM($G86-(SUM($H86:$I86))),"")</f>
        <v/>
      </c>
      <c r="AP86" t="str">
        <f>IF($B86=717,SUM($G86-(SUM($H86:$I86))),"")</f>
        <v/>
      </c>
      <c r="AQ86" t="str">
        <f>IF($B86=722,SUM($G86-(SUM($H86:$I86))),"")</f>
        <v/>
      </c>
      <c r="AR86" t="str">
        <f>IF($B86=708,SUM($G86-(SUM($H86:$I86))),"")</f>
        <v/>
      </c>
      <c r="AS86" t="str">
        <f>IF($B86=701,SUM($G86-(SUM($H86:$I86))),"")</f>
        <v/>
      </c>
      <c r="AT86" t="str">
        <f>IF($B86=702,SUM($G86-(SUM($H86:$I86))),"")</f>
        <v/>
      </c>
      <c r="AU86" t="str">
        <f>IF($B86=731,SUM($G86-(SUM($H86:$I86))),"")</f>
        <v/>
      </c>
      <c r="AV86" t="str">
        <f>IF($B86=730,SUM($G86-(SUM($H86:$I86))),"")</f>
        <v/>
      </c>
    </row>
    <row r="87">
      <c r="D87" t="n" s="0">
        <f>D86+G87</f>
        <v>0.0</v>
      </c>
      <c r="F87" t="n" s="0">
        <f>SUM(H87:AV87)-G87</f>
        <v>0.0</v>
      </c>
      <c r="H87" t="str" s="0">
        <f>IF(G87/23*3&gt;0,SUM(G87/23*3),"")</f>
        <v/>
      </c>
      <c r="I87" t="str" s="0">
        <f>IF(G87/23*3&lt;0,SUM(G87/23*3),"")</f>
        <v/>
      </c>
      <c r="J87" t="str" s="0">
        <f>IF($B87=707,SUM($G87-(SUM($H87:$I87))),"")</f>
        <v/>
      </c>
      <c r="K87" t="str" s="0">
        <f>IF($B87=706,SUM($G87-(SUM($H87:$I87))),"")</f>
        <v/>
      </c>
      <c r="L87" t="str" s="0">
        <f>IF($B87=703,SUM($G87-(SUM($H87:$I87))),"")</f>
        <v/>
      </c>
      <c r="M87" t="str" s="0">
        <f>IF($B87=704,SUM($G87-(SUM($H87:$I87))),"")</f>
        <v/>
      </c>
      <c r="N87" t="str" s="0">
        <f>IF($B87=709,SUM($G87-(SUM($H87:$I87))),"")</f>
        <v/>
      </c>
      <c r="O87" t="str" s="0">
        <f>IF($B87=738,SUM($G87-(SUM($H87:$I87))),"")</f>
        <v/>
      </c>
      <c r="P87" t="str" s="0">
        <f>IF($B87=739,SUM($G87-(SUM($H87:$I87))),"")</f>
        <v/>
      </c>
      <c r="Q87" t="str" s="0">
        <f>IF($B87=714,SUM($G87-(SUM($H87:$I87))),"")</f>
        <v/>
      </c>
      <c r="R87" t="str" s="0">
        <f>IF($B87=710,SUM($G87-(SUM($H87:$I87))),"")</f>
        <v/>
      </c>
      <c r="S87" t="str" s="0">
        <f>IF($B87=711,SUM($G87-(SUM($H87:$I87))),"")</f>
        <v/>
      </c>
      <c r="T87" t="str" s="0">
        <f>IF($B87=712,SUM($G87-(SUM($H87:$I87))),"")</f>
        <v/>
      </c>
      <c r="U87" t="str" s="0">
        <f>IF($B87=713,SUM($G87-(SUM($H87:$I87))),"")</f>
        <v/>
      </c>
      <c r="V87" t="str" s="0">
        <f>IF($B87=715,SUM($G87-(SUM($H87:$I87))),"")</f>
        <v/>
      </c>
      <c r="W87" t="str" s="0">
        <f>IF($B87=724,SUM($G87-(SUM($H87:$I87))),"")</f>
        <v/>
      </c>
      <c r="X87" t="str" s="0">
        <f>IF($B87=725,SUM($G87-(SUM($H87:$I87))),"")</f>
        <v/>
      </c>
      <c r="Y87" t="str" s="0">
        <f>IF($B87=726,SUM($G87-(SUM($H87:$I87))),"")</f>
        <v/>
      </c>
      <c r="Z87" t="str" s="0">
        <f>IF($B87=727,SUM($G87-(SUM($H87:$I87))),"")</f>
        <v/>
      </c>
      <c r="AA87" t="str" s="0">
        <f>IF($B87=728,SUM($G87-(SUM($H87:$I87))),"")</f>
        <v/>
      </c>
      <c r="AB87" t="str" s="0">
        <f>IF($B87=729,SUM($G87-(SUM($H87:$I87))),"")</f>
        <v/>
      </c>
      <c r="AC87" t="str" s="0">
        <f>IF($B87=730,SUM($G87-(SUM($H87:$I87))),"")</f>
        <v/>
      </c>
      <c r="AD87" t="str" s="0">
        <f>IF($B87=732,SUM($G87-(SUM($H87:$I87))),"")</f>
        <v/>
      </c>
      <c r="AE87" t="str" s="0">
        <f>IF($B87=733,SUM($G87-(SUM($H87:$I87))),"")</f>
        <v/>
      </c>
      <c r="AF87" t="str" s="0">
        <f>IF($B87=734,SUM($G87-(SUM($H87:$I87))),"")</f>
        <v/>
      </c>
      <c r="AG87" t="str" s="0">
        <f>IF($B87=705,SUM($G87-(SUM($H87:$I87))),"")</f>
        <v/>
      </c>
      <c r="AH87" t="str" s="0">
        <f>IF($B87=735,SUM($G87-(SUM($H87:$I87))),"")</f>
        <v/>
      </c>
      <c r="AI87" t="str" s="0">
        <f>IF($B87=736,SUM($G87-(SUM($H87:$I87))),"")</f>
        <v/>
      </c>
      <c r="AJ87" t="str" s="0">
        <f>IF($B87=737,SUM($G87-(SUM($H87:$I87))),"")</f>
        <v/>
      </c>
      <c r="AK87" t="str" s="0">
        <f>IF($B87=725,SUM($G87-(SUM($H87:$I87))),"")</f>
        <v/>
      </c>
      <c r="AL87" t="str" s="0">
        <f>IF($B87=735,SUM($G87-(SUM($H87:$I87))),"")</f>
        <v/>
      </c>
      <c r="AM87" t="str" s="0">
        <f>IF($B87=727,SUM($G87-(SUM($H87:$I87))),"")</f>
        <v/>
      </c>
      <c r="AN87" t="str" s="0">
        <f>IF($B87=718,SUM($G87-(SUM($H87:$I87))),"")</f>
        <v/>
      </c>
      <c r="AO87" t="str" s="0">
        <f>IF($B87=719,SUM($G87-(SUM($H87:$I87))),"")</f>
        <v/>
      </c>
      <c r="AP87" t="str" s="0">
        <f>IF($B87=717,SUM($G87-(SUM($H87:$I87))),"")</f>
        <v/>
      </c>
      <c r="AQ87" t="str" s="0">
        <f>IF($B87=722,SUM($G87-(SUM($H87:$I87))),"")</f>
        <v/>
      </c>
      <c r="AR87" t="str" s="0">
        <f>IF($B87=708,SUM($G87-(SUM($H87:$I87))),"")</f>
        <v/>
      </c>
      <c r="AS87" t="str" s="0">
        <f>IF($B87=701,SUM($G87-(SUM($H87:$I87))),"")</f>
        <v/>
      </c>
      <c r="AT87" t="str" s="0">
        <f>IF($B87=702,SUM($G87-(SUM($H87:$I87))),"")</f>
        <v/>
      </c>
      <c r="AU87" t="str" s="0">
        <f>IF($B87=731,SUM($G87-(SUM($H87:$I87))),"")</f>
        <v/>
      </c>
      <c r="AV87" t="str" s="0">
        <f>IF($B87=730,SUM($G87-(SUM($H87:$I87))),"")</f>
        <v/>
      </c>
    </row>
    <row r="88">
      <c r="B88" t="n" s="0">
        <v>707.0</v>
      </c>
      <c r="C88" t="s">
        <v>91</v>
      </c>
      <c r="D88" t="n">
        <f>D87+G88</f>
        <v>0.0</v>
      </c>
      <c r="F88" t="n">
        <f>SUM(H88:AV88)-G88</f>
        <v>0.0</v>
      </c>
      <c r="G88" s="2" t="n">
        <v>0.0</v>
      </c>
      <c r="H88" t="str">
        <f>IF(G88/23*3&gt;0,SUM(G88/23*3),"")</f>
        <v/>
      </c>
      <c r="I88" t="str">
        <f>IF(G88/23*3&lt;0,SUM(G88/23*3),"")</f>
        <v/>
      </c>
      <c r="J88" t="n">
        <f>IF($B88=707,SUM($G88-(SUM($H88:$I88))),"")</f>
        <v>0.0</v>
      </c>
      <c r="K88" t="str">
        <f>IF($B88=706,SUM($G88-(SUM($H88:$I88))),"")</f>
        <v/>
      </c>
      <c r="L88" t="str">
        <f>IF($B88=703,SUM($G88-(SUM($H88:$I88))),"")</f>
        <v/>
      </c>
      <c r="M88" t="str">
        <f>IF($B88=704,SUM($G88-(SUM($H88:$I88))),"")</f>
        <v/>
      </c>
      <c r="N88" t="str">
        <f>IF($B88=709,SUM($G88-(SUM($H88:$I88))),"")</f>
        <v/>
      </c>
      <c r="O88" t="str">
        <f>IF($B88=738,SUM($G88-(SUM($H88:$I88))),"")</f>
        <v/>
      </c>
      <c r="P88" t="str">
        <f>IF($B88=739,SUM($G88-(SUM($H88:$I88))),"")</f>
        <v/>
      </c>
      <c r="Q88" t="str">
        <f>IF($B88=714,SUM($G88-(SUM($H88:$I88))),"")</f>
        <v/>
      </c>
      <c r="R88" t="str">
        <f>IF($B88=710,SUM($G88-(SUM($H88:$I88))),"")</f>
        <v/>
      </c>
      <c r="S88" t="str">
        <f>IF($B88=711,SUM($G88-(SUM($H88:$I88))),"")</f>
        <v/>
      </c>
      <c r="T88" t="str">
        <f>IF($B88=712,SUM($G88-(SUM($H88:$I88))),"")</f>
        <v/>
      </c>
      <c r="U88" t="str">
        <f>IF($B88=713,SUM($G88-(SUM($H88:$I88))),"")</f>
        <v/>
      </c>
      <c r="V88" t="str">
        <f>IF($B88=715,SUM($G88-(SUM($H88:$I88))),"")</f>
        <v/>
      </c>
      <c r="W88" t="str">
        <f>IF($B88=724,SUM($G88-(SUM($H88:$I88))),"")</f>
        <v/>
      </c>
      <c r="X88" t="str">
        <f>IF($B88=725,SUM($G88-(SUM($H88:$I88))),"")</f>
        <v/>
      </c>
      <c r="Y88" t="str">
        <f>IF($B88=726,SUM($G88-(SUM($H88:$I88))),"")</f>
        <v/>
      </c>
      <c r="Z88" t="str">
        <f>IF($B88=727,SUM($G88-(SUM($H88:$I88))),"")</f>
        <v/>
      </c>
      <c r="AA88" t="str">
        <f>IF($B88=728,SUM($G88-(SUM($H88:$I88))),"")</f>
        <v/>
      </c>
      <c r="AB88" t="str">
        <f>IF($B88=729,SUM($G88-(SUM($H88:$I88))),"")</f>
        <v/>
      </c>
      <c r="AC88" t="str">
        <f>IF($B88=730,SUM($G88-(SUM($H88:$I88))),"")</f>
        <v/>
      </c>
      <c r="AD88" t="str">
        <f>IF($B88=732,SUM($G88-(SUM($H88:$I88))),"")</f>
        <v/>
      </c>
      <c r="AE88" t="str">
        <f>IF($B88=733,SUM($G88-(SUM($H88:$I88))),"")</f>
        <v/>
      </c>
      <c r="AF88" t="str">
        <f>IF($B88=734,SUM($G88-(SUM($H88:$I88))),"")</f>
        <v/>
      </c>
      <c r="AG88" t="str">
        <f>IF($B88=705,SUM($G88-(SUM($H88:$I88))),"")</f>
        <v/>
      </c>
      <c r="AH88" t="str">
        <f>IF($B88=735,SUM($G88-(SUM($H88:$I88))),"")</f>
        <v/>
      </c>
      <c r="AI88" t="str">
        <f>IF($B88=736,SUM($G88-(SUM($H88:$I88))),"")</f>
        <v/>
      </c>
      <c r="AJ88" t="str">
        <f>IF($B88=737,SUM($G88-(SUM($H88:$I88))),"")</f>
        <v/>
      </c>
      <c r="AK88" t="str">
        <f>IF($B88=725,SUM($G88-(SUM($H88:$I88))),"")</f>
        <v/>
      </c>
      <c r="AL88" t="str">
        <f>IF($B88=735,SUM($G88-(SUM($H88:$I88))),"")</f>
        <v/>
      </c>
      <c r="AM88" t="str">
        <f>IF($B88=727,SUM($G88-(SUM($H88:$I88))),"")</f>
        <v/>
      </c>
      <c r="AN88" t="str">
        <f>IF($B88=718,SUM($G88-(SUM($H88:$I88))),"")</f>
        <v/>
      </c>
      <c r="AO88" t="str">
        <f>IF($B88=719,SUM($G88-(SUM($H88:$I88))),"")</f>
        <v/>
      </c>
      <c r="AP88" t="str">
        <f>IF($B88=717,SUM($G88-(SUM($H88:$I88))),"")</f>
        <v/>
      </c>
      <c r="AQ88" t="str">
        <f>IF($B88=722,SUM($G88-(SUM($H88:$I88))),"")</f>
        <v/>
      </c>
      <c r="AR88" t="str">
        <f>IF($B88=708,SUM($G88-(SUM($H88:$I88))),"")</f>
        <v/>
      </c>
      <c r="AS88" t="str">
        <f>IF($B88=701,SUM($G88-(SUM($H88:$I88))),"")</f>
        <v/>
      </c>
      <c r="AT88" t="str">
        <f>IF($B88=702,SUM($G88-(SUM($H88:$I88))),"")</f>
        <v/>
      </c>
      <c r="AU88" t="str">
        <f>IF($B88=731,SUM($G88-(SUM($H88:$I88))),"")</f>
        <v/>
      </c>
      <c r="AV88" t="str">
        <f>IF($B88=730,SUM($G88-(SUM($H88:$I88))),"")</f>
        <v/>
      </c>
    </row>
    <row r="89">
      <c r="B89" t="n" s="0">
        <v>725.0</v>
      </c>
      <c r="C89" t="s">
        <v>77</v>
      </c>
      <c r="D89" t="n">
        <f>D88+G89</f>
        <v>0.0</v>
      </c>
      <c r="F89" t="n">
        <f>SUM(H89:AV89)-G89</f>
        <v>0.0</v>
      </c>
      <c r="G89" s="2" t="n">
        <v>0.0</v>
      </c>
      <c r="H89" t="str">
        <f>IF(G89/23*3&gt;0,SUM(G89/23*3),"")</f>
        <v/>
      </c>
      <c r="I89" t="str">
        <f>IF(G89/23*3&lt;0,SUM(G89/23*3),"")</f>
        <v/>
      </c>
      <c r="J89" t="str">
        <f>IF($B89=707,SUM($G89-(SUM($H89:$I89))),"")</f>
        <v/>
      </c>
      <c r="K89" t="str">
        <f>IF($B89=706,SUM($G89-(SUM($H89:$I89))),"")</f>
        <v/>
      </c>
      <c r="L89" t="str">
        <f>IF($B89=703,SUM($G89-(SUM($H89:$I89))),"")</f>
        <v/>
      </c>
      <c r="M89" t="str">
        <f>IF($B89=704,SUM($G89-(SUM($H89:$I89))),"")</f>
        <v/>
      </c>
      <c r="N89" t="str">
        <f>IF($B89=709,SUM($G89-(SUM($H89:$I89))),"")</f>
        <v/>
      </c>
      <c r="O89" t="str">
        <f>IF($B89=738,SUM($G89-(SUM($H89:$I89))),"")</f>
        <v/>
      </c>
      <c r="P89" t="str">
        <f>IF($B89=739,SUM($G89-(SUM($H89:$I89))),"")</f>
        <v/>
      </c>
      <c r="Q89" t="str">
        <f>IF($B89=714,SUM($G89-(SUM($H89:$I89))),"")</f>
        <v/>
      </c>
      <c r="R89" t="str">
        <f>IF($B89=710,SUM($G89-(SUM($H89:$I89))),"")</f>
        <v/>
      </c>
      <c r="S89" t="str">
        <f>IF($B89=711,SUM($G89-(SUM($H89:$I89))),"")</f>
        <v/>
      </c>
      <c r="T89" t="str">
        <f>IF($B89=712,SUM($G89-(SUM($H89:$I89))),"")</f>
        <v/>
      </c>
      <c r="U89" t="str">
        <f>IF($B89=713,SUM($G89-(SUM($H89:$I89))),"")</f>
        <v/>
      </c>
      <c r="V89" t="str">
        <f>IF($B89=715,SUM($G89-(SUM($H89:$I89))),"")</f>
        <v/>
      </c>
      <c r="W89" t="str">
        <f>IF($B89=724,SUM($G89-(SUM($H89:$I89))),"")</f>
        <v/>
      </c>
      <c r="X89" t="n">
        <f>IF($B89=725,SUM($G89-(SUM($H89:$I89))),"")</f>
        <v>0.0</v>
      </c>
      <c r="Y89" t="str">
        <f>IF($B89=726,SUM($G89-(SUM($H89:$I89))),"")</f>
        <v/>
      </c>
      <c r="Z89" t="str">
        <f>IF($B89=727,SUM($G89-(SUM($H89:$I89))),"")</f>
        <v/>
      </c>
      <c r="AA89" t="str">
        <f>IF($B89=728,SUM($G89-(SUM($H89:$I89))),"")</f>
        <v/>
      </c>
      <c r="AB89" t="str">
        <f>IF($B89=729,SUM($G89-(SUM($H89:$I89))),"")</f>
        <v/>
      </c>
      <c r="AC89" t="str">
        <f>IF($B89=730,SUM($G89-(SUM($H89:$I89))),"")</f>
        <v/>
      </c>
      <c r="AD89" t="str">
        <f>IF($B89=732,SUM($G89-(SUM($H89:$I89))),"")</f>
        <v/>
      </c>
      <c r="AE89" t="str">
        <f>IF($B89=733,SUM($G89-(SUM($H89:$I89))),"")</f>
        <v/>
      </c>
      <c r="AF89" t="str">
        <f>IF($B89=734,SUM($G89-(SUM($H89:$I89))),"")</f>
        <v/>
      </c>
      <c r="AG89" t="str">
        <f>IF($B89=705,SUM($G89-(SUM($H89:$I89))),"")</f>
        <v/>
      </c>
      <c r="AH89" t="str">
        <f>IF($B89=735,SUM($G89-(SUM($H89:$I89))),"")</f>
        <v/>
      </c>
      <c r="AI89" t="str">
        <f>IF($B89=736,SUM($G89-(SUM($H89:$I89))),"")</f>
        <v/>
      </c>
      <c r="AJ89" t="str">
        <f>IF($B89=737,SUM($G89-(SUM($H89:$I89))),"")</f>
        <v/>
      </c>
      <c r="AK89" t="n">
        <f>IF($B89=725,SUM($G89-(SUM($H89:$I89))),"")</f>
        <v>0.0</v>
      </c>
      <c r="AL89" t="str">
        <f>IF($B89=735,SUM($G89-(SUM($H89:$I89))),"")</f>
        <v/>
      </c>
      <c r="AM89" t="str">
        <f>IF($B89=727,SUM($G89-(SUM($H89:$I89))),"")</f>
        <v/>
      </c>
      <c r="AN89" t="str">
        <f>IF($B89=718,SUM($G89-(SUM($H89:$I89))),"")</f>
        <v/>
      </c>
      <c r="AO89" t="str">
        <f>IF($B89=719,SUM($G89-(SUM($H89:$I89))),"")</f>
        <v/>
      </c>
      <c r="AP89" t="str">
        <f>IF($B89=717,SUM($G89-(SUM($H89:$I89))),"")</f>
        <v/>
      </c>
      <c r="AQ89" t="str">
        <f>IF($B89=722,SUM($G89-(SUM($H89:$I89))),"")</f>
        <v/>
      </c>
      <c r="AR89" t="str">
        <f>IF($B89=708,SUM($G89-(SUM($H89:$I89))),"")</f>
        <v/>
      </c>
      <c r="AS89" t="str">
        <f>IF($B89=701,SUM($G89-(SUM($H89:$I89))),"")</f>
        <v/>
      </c>
      <c r="AT89" t="str">
        <f>IF($B89=702,SUM($G89-(SUM($H89:$I89))),"")</f>
        <v/>
      </c>
      <c r="AU89" t="str">
        <f>IF($B89=731,SUM($G89-(SUM($H89:$I89))),"")</f>
        <v/>
      </c>
      <c r="AV89" t="str">
        <f>IF($B89=730,SUM($G89-(SUM($H89:$I89))),"")</f>
        <v/>
      </c>
    </row>
    <row r="90">
      <c r="B90" t="n" s="0">
        <v>726.0</v>
      </c>
      <c r="C90" t="s">
        <v>78</v>
      </c>
      <c r="D90" t="n">
        <f>D89+G90</f>
        <v>0.0</v>
      </c>
      <c r="F90" t="n">
        <f>SUM(H90:AV90)-G90</f>
        <v>0.0</v>
      </c>
      <c r="G90" s="2" t="n">
        <f>-(OtherCalculation!C10)</f>
        <v>0.0</v>
      </c>
      <c r="H90" t="str">
        <f>IF(G90/23*3&gt;0,SUM(G90/23*3),"")</f>
        <v/>
      </c>
      <c r="I90" t="str">
        <f>IF(G90/23*3&lt;0,SUM(G90/23*3),"")</f>
        <v/>
      </c>
      <c r="J90" t="str">
        <f>IF($B90=707,SUM($G90-(SUM($H90:$I90))),"")</f>
        <v/>
      </c>
      <c r="K90" t="str">
        <f>IF($B90=706,SUM($G90-(SUM($H90:$I90))),"")</f>
        <v/>
      </c>
      <c r="L90" t="str">
        <f>IF($B90=703,SUM($G90-(SUM($H90:$I90))),"")</f>
        <v/>
      </c>
      <c r="M90" t="str">
        <f>IF($B90=704,SUM($G90-(SUM($H90:$I90))),"")</f>
        <v/>
      </c>
      <c r="N90" t="str">
        <f>IF($B90=709,SUM($G90-(SUM($H90:$I90))),"")</f>
        <v/>
      </c>
      <c r="O90" t="str">
        <f>IF($B90=738,SUM($G90-(SUM($H90:$I90))),"")</f>
        <v/>
      </c>
      <c r="P90" t="str">
        <f>IF($B90=739,SUM($G90-(SUM($H90:$I90))),"")</f>
        <v/>
      </c>
      <c r="Q90" t="str">
        <f>IF($B90=714,SUM($G90-(SUM($H90:$I90))),"")</f>
        <v/>
      </c>
      <c r="R90" t="str">
        <f>IF($B90=710,SUM($G90-(SUM($H90:$I90))),"")</f>
        <v/>
      </c>
      <c r="S90" t="str">
        <f>IF($B90=711,SUM($G90-(SUM($H90:$I90))),"")</f>
        <v/>
      </c>
      <c r="T90" t="str">
        <f>IF($B90=712,SUM($G90-(SUM($H90:$I90))),"")</f>
        <v/>
      </c>
      <c r="U90" t="str">
        <f>IF($B90=713,SUM($G90-(SUM($H90:$I90))),"")</f>
        <v/>
      </c>
      <c r="V90" t="str">
        <f>IF($B90=715,SUM($G90-(SUM($H90:$I90))),"")</f>
        <v/>
      </c>
      <c r="W90" t="str">
        <f>IF($B90=724,SUM($G90-(SUM($H90:$I90))),"")</f>
        <v/>
      </c>
      <c r="X90" t="str">
        <f>IF($B90=725,SUM($G90-(SUM($H90:$I90))),"")</f>
        <v/>
      </c>
      <c r="Y90" t="n">
        <f>IF($B90=726,SUM($G90-(SUM($H90:$I90))),"")</f>
        <v>0.0</v>
      </c>
      <c r="Z90" t="str">
        <f>IF($B90=727,SUM($G90-(SUM($H90:$I90))),"")</f>
        <v/>
      </c>
      <c r="AA90" t="str">
        <f>IF($B90=728,SUM($G90-(SUM($H90:$I90))),"")</f>
        <v/>
      </c>
      <c r="AB90" t="str">
        <f>IF($B90=729,SUM($G90-(SUM($H90:$I90))),"")</f>
        <v/>
      </c>
      <c r="AC90" t="str">
        <f>IF($B90=730,SUM($G90-(SUM($H90:$I90))),"")</f>
        <v/>
      </c>
      <c r="AD90" t="str">
        <f>IF($B90=732,SUM($G90-(SUM($H90:$I90))),"")</f>
        <v/>
      </c>
      <c r="AE90" t="str">
        <f>IF($B90=733,SUM($G90-(SUM($H90:$I90))),"")</f>
        <v/>
      </c>
      <c r="AF90" t="str">
        <f>IF($B90=734,SUM($G90-(SUM($H90:$I90))),"")</f>
        <v/>
      </c>
      <c r="AG90" t="str">
        <f>IF($B90=705,SUM($G90-(SUM($H90:$I90))),"")</f>
        <v/>
      </c>
      <c r="AH90" t="str">
        <f>IF($B90=735,SUM($G90-(SUM($H90:$I90))),"")</f>
        <v/>
      </c>
      <c r="AI90" t="str">
        <f>IF($B90=736,SUM($G90-(SUM($H90:$I90))),"")</f>
        <v/>
      </c>
      <c r="AJ90" t="str">
        <f>IF($B90=737,SUM($G90-(SUM($H90:$I90))),"")</f>
        <v/>
      </c>
      <c r="AK90" t="str">
        <f>IF($B90=725,SUM($G90-(SUM($H90:$I90))),"")</f>
        <v/>
      </c>
      <c r="AL90" t="str">
        <f>IF($B90=735,SUM($G90-(SUM($H90:$I90))),"")</f>
        <v/>
      </c>
      <c r="AM90" t="str">
        <f>IF($B90=727,SUM($G90-(SUM($H90:$I90))),"")</f>
        <v/>
      </c>
      <c r="AN90" t="str">
        <f>IF($B90=718,SUM($G90-(SUM($H90:$I90))),"")</f>
        <v/>
      </c>
      <c r="AO90" t="str">
        <f>IF($B90=719,SUM($G90-(SUM($H90:$I90))),"")</f>
        <v/>
      </c>
      <c r="AP90" t="str">
        <f>IF($B90=717,SUM($G90-(SUM($H90:$I90))),"")</f>
        <v/>
      </c>
      <c r="AQ90" t="str">
        <f>IF($B90=722,SUM($G90-(SUM($H90:$I90))),"")</f>
        <v/>
      </c>
      <c r="AR90" t="str">
        <f>IF($B90=708,SUM($G90-(SUM($H90:$I90))),"")</f>
        <v/>
      </c>
      <c r="AS90" t="str">
        <f>IF($B90=701,SUM($G90-(SUM($H90:$I90))),"")</f>
        <v/>
      </c>
      <c r="AT90" t="str">
        <f>IF($B90=702,SUM($G90-(SUM($H90:$I90))),"")</f>
        <v/>
      </c>
      <c r="AU90" t="str">
        <f>IF($B90=731,SUM($G90-(SUM($H90:$I90))),"")</f>
        <v/>
      </c>
      <c r="AV90" t="str">
        <f>IF($B90=730,SUM($G90-(SUM($H90:$I90))),"")</f>
        <v/>
      </c>
    </row>
    <row r="91">
      <c r="B91" t="n" s="0">
        <v>727.0</v>
      </c>
      <c r="C91" t="s">
        <v>79</v>
      </c>
      <c r="D91" t="n">
        <f>D90+G91</f>
        <v>0.0</v>
      </c>
      <c r="F91" t="n">
        <f>SUM(H91:AV91)-G91</f>
        <v>0.0</v>
      </c>
      <c r="G91" s="2" t="n">
        <v>0.0</v>
      </c>
      <c r="H91" t="str">
        <f>IF(G91/23*3&gt;0,SUM(G91/23*3),"")</f>
        <v/>
      </c>
      <c r="I91" t="str">
        <f>IF(G91/23*3&lt;0,SUM(G91/23*3),"")</f>
        <v/>
      </c>
      <c r="J91" t="str">
        <f>IF($B91=707,SUM($G91-(SUM($H91:$I91))),"")</f>
        <v/>
      </c>
      <c r="K91" t="str">
        <f>IF($B91=706,SUM($G91-(SUM($H91:$I91))),"")</f>
        <v/>
      </c>
      <c r="L91" t="str">
        <f>IF($B91=703,SUM($G91-(SUM($H91:$I91))),"")</f>
        <v/>
      </c>
      <c r="M91" t="str">
        <f>IF($B91=704,SUM($G91-(SUM($H91:$I91))),"")</f>
        <v/>
      </c>
      <c r="N91" t="str">
        <f>IF($B91=709,SUM($G91-(SUM($H91:$I91))),"")</f>
        <v/>
      </c>
      <c r="O91" t="str">
        <f>IF($B91=738,SUM($G91-(SUM($H91:$I91))),"")</f>
        <v/>
      </c>
      <c r="P91" t="str">
        <f>IF($B91=739,SUM($G91-(SUM($H91:$I91))),"")</f>
        <v/>
      </c>
      <c r="Q91" t="str">
        <f>IF($B91=714,SUM($G91-(SUM($H91:$I91))),"")</f>
        <v/>
      </c>
      <c r="R91" t="str">
        <f>IF($B91=710,SUM($G91-(SUM($H91:$I91))),"")</f>
        <v/>
      </c>
      <c r="S91" t="str">
        <f>IF($B91=711,SUM($G91-(SUM($H91:$I91))),"")</f>
        <v/>
      </c>
      <c r="T91" t="str">
        <f>IF($B91=712,SUM($G91-(SUM($H91:$I91))),"")</f>
        <v/>
      </c>
      <c r="U91" t="str">
        <f>IF($B91=713,SUM($G91-(SUM($H91:$I91))),"")</f>
        <v/>
      </c>
      <c r="V91" t="str">
        <f>IF($B91=715,SUM($G91-(SUM($H91:$I91))),"")</f>
        <v/>
      </c>
      <c r="W91" t="str">
        <f>IF($B91=724,SUM($G91-(SUM($H91:$I91))),"")</f>
        <v/>
      </c>
      <c r="X91" t="str">
        <f>IF($B91=725,SUM($G91-(SUM($H91:$I91))),"")</f>
        <v/>
      </c>
      <c r="Y91" t="str">
        <f>IF($B91=726,SUM($G91-(SUM($H91:$I91))),"")</f>
        <v/>
      </c>
      <c r="Z91" t="n">
        <f>IF($B91=727,SUM($G91-(SUM($H91:$I91))),"")</f>
        <v>0.0</v>
      </c>
      <c r="AA91" t="str">
        <f>IF($B91=728,SUM($G91-(SUM($H91:$I91))),"")</f>
        <v/>
      </c>
      <c r="AB91" t="str">
        <f>IF($B91=729,SUM($G91-(SUM($H91:$I91))),"")</f>
        <v/>
      </c>
      <c r="AC91" t="str">
        <f>IF($B91=730,SUM($G91-(SUM($H91:$I91))),"")</f>
        <v/>
      </c>
      <c r="AD91" t="str">
        <f>IF($B91=732,SUM($G91-(SUM($H91:$I91))),"")</f>
        <v/>
      </c>
      <c r="AE91" t="str">
        <f>IF($B91=733,SUM($G91-(SUM($H91:$I91))),"")</f>
        <v/>
      </c>
      <c r="AF91" t="str">
        <f>IF($B91=734,SUM($G91-(SUM($H91:$I91))),"")</f>
        <v/>
      </c>
      <c r="AG91" t="str">
        <f>IF($B91=705,SUM($G91-(SUM($H91:$I91))),"")</f>
        <v/>
      </c>
      <c r="AH91" t="str">
        <f>IF($B91=735,SUM($G91-(SUM($H91:$I91))),"")</f>
        <v/>
      </c>
      <c r="AI91" t="str">
        <f>IF($B91=736,SUM($G91-(SUM($H91:$I91))),"")</f>
        <v/>
      </c>
      <c r="AJ91" t="str">
        <f>IF($B91=737,SUM($G91-(SUM($H91:$I91))),"")</f>
        <v/>
      </c>
      <c r="AK91" t="str">
        <f>IF($B91=725,SUM($G91-(SUM($H91:$I91))),"")</f>
        <v/>
      </c>
      <c r="AL91" t="str">
        <f>IF($B91=735,SUM($G91-(SUM($H91:$I91))),"")</f>
        <v/>
      </c>
      <c r="AM91" t="n">
        <f>IF($B91=727,SUM($G91-(SUM($H91:$I91))),"")</f>
        <v>0.0</v>
      </c>
      <c r="AN91" t="str">
        <f>IF($B91=718,SUM($G91-(SUM($H91:$I91))),"")</f>
        <v/>
      </c>
      <c r="AO91" t="str">
        <f>IF($B91=719,SUM($G91-(SUM($H91:$I91))),"")</f>
        <v/>
      </c>
      <c r="AP91" t="str">
        <f>IF($B91=717,SUM($G91-(SUM($H91:$I91))),"")</f>
        <v/>
      </c>
      <c r="AQ91" t="str">
        <f>IF($B91=722,SUM($G91-(SUM($H91:$I91))),"")</f>
        <v/>
      </c>
      <c r="AR91" t="str">
        <f>IF($B91=708,SUM($G91-(SUM($H91:$I91))),"")</f>
        <v/>
      </c>
      <c r="AS91" t="str">
        <f>IF($B91=701,SUM($G91-(SUM($H91:$I91))),"")</f>
        <v/>
      </c>
      <c r="AT91" t="str">
        <f>IF($B91=702,SUM($G91-(SUM($H91:$I91))),"")</f>
        <v/>
      </c>
      <c r="AU91" t="str">
        <f>IF($B91=731,SUM($G91-(SUM($H91:$I91))),"")</f>
        <v/>
      </c>
      <c r="AV91" t="str">
        <f>IF($B91=730,SUM($G91-(SUM($H91:$I91))),"")</f>
        <v/>
      </c>
    </row>
    <row r="92">
      <c r="B92" t="n" s="0">
        <v>728.0</v>
      </c>
      <c r="C92" t="s">
        <v>80</v>
      </c>
      <c r="D92" t="n">
        <f>D91+G92</f>
        <v>0.0</v>
      </c>
      <c r="F92" t="n">
        <f>SUM(H92:AV92)-G92</f>
        <v>0.0</v>
      </c>
      <c r="G92" s="2" t="n">
        <v>0.0</v>
      </c>
      <c r="H92" t="str">
        <f>IF(G92/23*3&gt;0,SUM(G92/23*3),"")</f>
        <v/>
      </c>
      <c r="I92" t="str">
        <f>IF(G92/23*3&lt;0,SUM(G92/23*3),"")</f>
        <v/>
      </c>
      <c r="J92" t="str">
        <f>IF($B92=707,SUM($G92-(SUM($H92:$I92))),"")</f>
        <v/>
      </c>
      <c r="K92" t="str">
        <f>IF($B92=706,SUM($G92-(SUM($H92:$I92))),"")</f>
        <v/>
      </c>
      <c r="L92" t="str">
        <f>IF($B92=703,SUM($G92-(SUM($H92:$I92))),"")</f>
        <v/>
      </c>
      <c r="M92" t="str">
        <f>IF($B92=704,SUM($G92-(SUM($H92:$I92))),"")</f>
        <v/>
      </c>
      <c r="N92" t="str">
        <f>IF($B92=709,SUM($G92-(SUM($H92:$I92))),"")</f>
        <v/>
      </c>
      <c r="O92" t="str">
        <f>IF($B92=738,SUM($G92-(SUM($H92:$I92))),"")</f>
        <v/>
      </c>
      <c r="P92" t="str">
        <f>IF($B92=739,SUM($G92-(SUM($H92:$I92))),"")</f>
        <v/>
      </c>
      <c r="Q92" t="str">
        <f>IF($B92=714,SUM($G92-(SUM($H92:$I92))),"")</f>
        <v/>
      </c>
      <c r="R92" t="str">
        <f>IF($B92=710,SUM($G92-(SUM($H92:$I92))),"")</f>
        <v/>
      </c>
      <c r="S92" t="str">
        <f>IF($B92=711,SUM($G92-(SUM($H92:$I92))),"")</f>
        <v/>
      </c>
      <c r="T92" t="str">
        <f>IF($B92=712,SUM($G92-(SUM($H92:$I92))),"")</f>
        <v/>
      </c>
      <c r="U92" t="str">
        <f>IF($B92=713,SUM($G92-(SUM($H92:$I92))),"")</f>
        <v/>
      </c>
      <c r="V92" t="str">
        <f>IF($B92=715,SUM($G92-(SUM($H92:$I92))),"")</f>
        <v/>
      </c>
      <c r="W92" t="str">
        <f>IF($B92=724,SUM($G92-(SUM($H92:$I92))),"")</f>
        <v/>
      </c>
      <c r="X92" t="str">
        <f>IF($B92=725,SUM($G92-(SUM($H92:$I92))),"")</f>
        <v/>
      </c>
      <c r="Y92" t="str">
        <f>IF($B92=726,SUM($G92-(SUM($H92:$I92))),"")</f>
        <v/>
      </c>
      <c r="Z92" t="str">
        <f>IF($B92=727,SUM($G92-(SUM($H92:$I92))),"")</f>
        <v/>
      </c>
      <c r="AA92" t="n">
        <f>IF($B92=728,SUM($G92-(SUM($H92:$I92))),"")</f>
        <v>0.0</v>
      </c>
      <c r="AB92" t="str">
        <f>IF($B92=729,SUM($G92-(SUM($H92:$I92))),"")</f>
        <v/>
      </c>
      <c r="AC92" t="str">
        <f>IF($B92=730,SUM($G92-(SUM($H92:$I92))),"")</f>
        <v/>
      </c>
      <c r="AD92" t="str">
        <f>IF($B92=732,SUM($G92-(SUM($H92:$I92))),"")</f>
        <v/>
      </c>
      <c r="AE92" t="str">
        <f>IF($B92=733,SUM($G92-(SUM($H92:$I92))),"")</f>
        <v/>
      </c>
      <c r="AF92" t="str">
        <f>IF($B92=734,SUM($G92-(SUM($H92:$I92))),"")</f>
        <v/>
      </c>
      <c r="AG92" t="str">
        <f>IF($B92=705,SUM($G92-(SUM($H92:$I92))),"")</f>
        <v/>
      </c>
      <c r="AH92" t="str">
        <f>IF($B92=735,SUM($G92-(SUM($H92:$I92))),"")</f>
        <v/>
      </c>
      <c r="AI92" t="str">
        <f>IF($B92=736,SUM($G92-(SUM($H92:$I92))),"")</f>
        <v/>
      </c>
      <c r="AJ92" t="str">
        <f>IF($B92=737,SUM($G92-(SUM($H92:$I92))),"")</f>
        <v/>
      </c>
      <c r="AK92" t="str">
        <f>IF($B92=725,SUM($G92-(SUM($H92:$I92))),"")</f>
        <v/>
      </c>
      <c r="AL92" t="str">
        <f>IF($B92=735,SUM($G92-(SUM($H92:$I92))),"")</f>
        <v/>
      </c>
      <c r="AM92" t="str">
        <f>IF($B92=727,SUM($G92-(SUM($H92:$I92))),"")</f>
        <v/>
      </c>
      <c r="AN92" t="str">
        <f>IF($B92=718,SUM($G92-(SUM($H92:$I92))),"")</f>
        <v/>
      </c>
      <c r="AO92" t="str">
        <f>IF($B92=719,SUM($G92-(SUM($H92:$I92))),"")</f>
        <v/>
      </c>
      <c r="AP92" t="str">
        <f>IF($B92=717,SUM($G92-(SUM($H92:$I92))),"")</f>
        <v/>
      </c>
      <c r="AQ92" t="str">
        <f>IF($B92=722,SUM($G92-(SUM($H92:$I92))),"")</f>
        <v/>
      </c>
      <c r="AR92" t="str">
        <f>IF($B92=708,SUM($G92-(SUM($H92:$I92))),"")</f>
        <v/>
      </c>
      <c r="AS92" t="str">
        <f>IF($B92=701,SUM($G92-(SUM($H92:$I92))),"")</f>
        <v/>
      </c>
      <c r="AT92" t="str">
        <f>IF($B92=702,SUM($G92-(SUM($H92:$I92))),"")</f>
        <v/>
      </c>
      <c r="AU92" t="str">
        <f>IF($B92=731,SUM($G92-(SUM($H92:$I92))),"")</f>
        <v/>
      </c>
      <c r="AV92" t="str">
        <f>IF($B92=730,SUM($G92-(SUM($H92:$I92))),"")</f>
        <v/>
      </c>
    </row>
    <row r="93">
      <c r="B93" t="n" s="0">
        <v>729.0</v>
      </c>
      <c r="C93" t="s">
        <v>81</v>
      </c>
      <c r="D93" t="n">
        <f>D92+G93</f>
        <v>0.0</v>
      </c>
      <c r="F93" t="n">
        <f>SUM(H93:AV93)-G93</f>
        <v>0.0</v>
      </c>
      <c r="G93" s="2" t="n">
        <v>0.0</v>
      </c>
      <c r="H93" t="str">
        <f>IF(G93/23*3&gt;0,SUM(G93/23*3),"")</f>
        <v/>
      </c>
      <c r="I93" t="str">
        <f>IF(G93/23*3&lt;0,SUM(G93/23*3),"")</f>
        <v/>
      </c>
      <c r="J93" t="str">
        <f>IF($B93=707,SUM($G93-(SUM($H93:$I93))),"")</f>
        <v/>
      </c>
      <c r="K93" t="str">
        <f>IF($B93=706,SUM($G93-(SUM($H93:$I93))),"")</f>
        <v/>
      </c>
      <c r="L93" t="str">
        <f>IF($B93=703,SUM($G93-(SUM($H93:$I93))),"")</f>
        <v/>
      </c>
      <c r="M93" t="str">
        <f>IF($B93=704,SUM($G93-(SUM($H93:$I93))),"")</f>
        <v/>
      </c>
      <c r="N93" t="str">
        <f>IF($B93=709,SUM($G93-(SUM($H93:$I93))),"")</f>
        <v/>
      </c>
      <c r="O93" t="str">
        <f>IF($B93=738,SUM($G93-(SUM($H93:$I93))),"")</f>
        <v/>
      </c>
      <c r="P93" t="str">
        <f>IF($B93=739,SUM($G93-(SUM($H93:$I93))),"")</f>
        <v/>
      </c>
      <c r="Q93" t="str">
        <f>IF($B93=714,SUM($G93-(SUM($H93:$I93))),"")</f>
        <v/>
      </c>
      <c r="R93" t="str">
        <f>IF($B93=710,SUM($G93-(SUM($H93:$I93))),"")</f>
        <v/>
      </c>
      <c r="S93" t="str">
        <f>IF($B93=711,SUM($G93-(SUM($H93:$I93))),"")</f>
        <v/>
      </c>
      <c r="T93" t="str">
        <f>IF($B93=712,SUM($G93-(SUM($H93:$I93))),"")</f>
        <v/>
      </c>
      <c r="U93" t="str">
        <f>IF($B93=713,SUM($G93-(SUM($H93:$I93))),"")</f>
        <v/>
      </c>
      <c r="V93" t="str">
        <f>IF($B93=715,SUM($G93-(SUM($H93:$I93))),"")</f>
        <v/>
      </c>
      <c r="W93" t="str">
        <f>IF($B93=724,SUM($G93-(SUM($H93:$I93))),"")</f>
        <v/>
      </c>
      <c r="X93" t="str">
        <f>IF($B93=725,SUM($G93-(SUM($H93:$I93))),"")</f>
        <v/>
      </c>
      <c r="Y93" t="str">
        <f>IF($B93=726,SUM($G93-(SUM($H93:$I93))),"")</f>
        <v/>
      </c>
      <c r="Z93" t="str">
        <f>IF($B93=727,SUM($G93-(SUM($H93:$I93))),"")</f>
        <v/>
      </c>
      <c r="AA93" t="str">
        <f>IF($B93=728,SUM($G93-(SUM($H93:$I93))),"")</f>
        <v/>
      </c>
      <c r="AB93" t="n">
        <f>IF($B93=729,SUM($G93-(SUM($H93:$I93))),"")</f>
        <v>0.0</v>
      </c>
      <c r="AC93" t="str">
        <f>IF($B93=730,SUM($G93-(SUM($H93:$I93))),"")</f>
        <v/>
      </c>
      <c r="AD93" t="str">
        <f>IF($B93=732,SUM($G93-(SUM($H93:$I93))),"")</f>
        <v/>
      </c>
      <c r="AE93" t="str">
        <f>IF($B93=733,SUM($G93-(SUM($H93:$I93))),"")</f>
        <v/>
      </c>
      <c r="AF93" t="str">
        <f>IF($B93=734,SUM($G93-(SUM($H93:$I93))),"")</f>
        <v/>
      </c>
      <c r="AG93" t="str">
        <f>IF($B93=705,SUM($G93-(SUM($H93:$I93))),"")</f>
        <v/>
      </c>
      <c r="AH93" t="str">
        <f>IF($B93=735,SUM($G93-(SUM($H93:$I93))),"")</f>
        <v/>
      </c>
      <c r="AI93" t="str">
        <f>IF($B93=736,SUM($G93-(SUM($H93:$I93))),"")</f>
        <v/>
      </c>
      <c r="AJ93" t="str">
        <f>IF($B93=737,SUM($G93-(SUM($H93:$I93))),"")</f>
        <v/>
      </c>
      <c r="AK93" t="str">
        <f>IF($B93=725,SUM($G93-(SUM($H93:$I93))),"")</f>
        <v/>
      </c>
      <c r="AL93" t="str">
        <f>IF($B93=735,SUM($G93-(SUM($H93:$I93))),"")</f>
        <v/>
      </c>
      <c r="AM93" t="str">
        <f>IF($B93=727,SUM($G93-(SUM($H93:$I93))),"")</f>
        <v/>
      </c>
      <c r="AN93" t="str">
        <f>IF($B93=718,SUM($G93-(SUM($H93:$I93))),"")</f>
        <v/>
      </c>
      <c r="AO93" t="str">
        <f>IF($B93=719,SUM($G93-(SUM($H93:$I93))),"")</f>
        <v/>
      </c>
      <c r="AP93" t="str">
        <f>IF($B93=717,SUM($G93-(SUM($H93:$I93))),"")</f>
        <v/>
      </c>
      <c r="AQ93" t="str">
        <f>IF($B93=722,SUM($G93-(SUM($H93:$I93))),"")</f>
        <v/>
      </c>
      <c r="AR93" t="str">
        <f>IF($B93=708,SUM($G93-(SUM($H93:$I93))),"")</f>
        <v/>
      </c>
      <c r="AS93" t="str">
        <f>IF($B93=701,SUM($G93-(SUM($H93:$I93))),"")</f>
        <v/>
      </c>
      <c r="AT93" t="str">
        <f>IF($B93=702,SUM($G93-(SUM($H93:$I93))),"")</f>
        <v/>
      </c>
      <c r="AU93" t="str">
        <f>IF($B93=731,SUM($G93-(SUM($H93:$I93))),"")</f>
        <v/>
      </c>
      <c r="AV93" t="str">
        <f>IF($B93=730,SUM($G93-(SUM($H93:$I93))),"")</f>
        <v/>
      </c>
    </row>
    <row r="94">
      <c r="B94" t="n" s="0">
        <v>734.0</v>
      </c>
      <c r="C94" t="s">
        <v>75</v>
      </c>
      <c r="D94" t="n">
        <f>D93+G94</f>
        <v>0.0</v>
      </c>
      <c r="F94" t="n">
        <f>SUM(H94:AV94)-G94</f>
        <v>0.0</v>
      </c>
      <c r="G94" s="2" t="n">
        <v>0.0</v>
      </c>
      <c r="H94" t="str">
        <f>IF(G94/23*3&gt;0,SUM(G94/23*3),"")</f>
        <v/>
      </c>
      <c r="I94" t="str">
        <f>IF(G94/23*3&lt;0,SUM(G94/23*3),"")</f>
        <v/>
      </c>
      <c r="J94" t="str">
        <f>IF($B94=707,SUM($G94-(SUM($H94:$I94))),"")</f>
        <v/>
      </c>
      <c r="K94" t="str">
        <f>IF($B94=706,SUM($G94-(SUM($H94:$I94))),"")</f>
        <v/>
      </c>
      <c r="L94" t="str">
        <f>IF($B94=703,SUM($G94-(SUM($H94:$I94))),"")</f>
        <v/>
      </c>
      <c r="M94" t="str">
        <f>IF($B94=704,SUM($G94-(SUM($H94:$I94))),"")</f>
        <v/>
      </c>
      <c r="N94" t="str">
        <f>IF($B94=709,SUM($G94-(SUM($H94:$I94))),"")</f>
        <v/>
      </c>
      <c r="O94" t="str">
        <f>IF($B94=738,SUM($G94-(SUM($H94:$I94))),"")</f>
        <v/>
      </c>
      <c r="P94" t="str">
        <f>IF($B94=739,SUM($G94-(SUM($H94:$I94))),"")</f>
        <v/>
      </c>
      <c r="Q94" t="str">
        <f>IF($B94=714,SUM($G94-(SUM($H94:$I94))),"")</f>
        <v/>
      </c>
      <c r="R94" t="str">
        <f>IF($B94=710,SUM($G94-(SUM($H94:$I94))),"")</f>
        <v/>
      </c>
      <c r="S94" t="str">
        <f>IF($B94=711,SUM($G94-(SUM($H94:$I94))),"")</f>
        <v/>
      </c>
      <c r="T94" t="str">
        <f>IF($B94=712,SUM($G94-(SUM($H94:$I94))),"")</f>
        <v/>
      </c>
      <c r="U94" t="str">
        <f>IF($B94=713,SUM($G94-(SUM($H94:$I94))),"")</f>
        <v/>
      </c>
      <c r="V94" t="str">
        <f>IF($B94=715,SUM($G94-(SUM($H94:$I94))),"")</f>
        <v/>
      </c>
      <c r="W94" t="str">
        <f>IF($B94=724,SUM($G94-(SUM($H94:$I94))),"")</f>
        <v/>
      </c>
      <c r="X94" t="str">
        <f>IF($B94=725,SUM($G94-(SUM($H94:$I94))),"")</f>
        <v/>
      </c>
      <c r="Y94" t="str">
        <f>IF($B94=726,SUM($G94-(SUM($H94:$I94))),"")</f>
        <v/>
      </c>
      <c r="Z94" t="str">
        <f>IF($B94=727,SUM($G94-(SUM($H94:$I94))),"")</f>
        <v/>
      </c>
      <c r="AA94" t="str">
        <f>IF($B94=728,SUM($G94-(SUM($H94:$I94))),"")</f>
        <v/>
      </c>
      <c r="AB94" t="str">
        <f>IF($B94=729,SUM($G94-(SUM($H94:$I94))),"")</f>
        <v/>
      </c>
      <c r="AC94" t="str">
        <f>IF($B94=730,SUM($G94-(SUM($H94:$I94))),"")</f>
        <v/>
      </c>
      <c r="AD94" t="str">
        <f>IF($B94=732,SUM($G94-(SUM($H94:$I94))),"")</f>
        <v/>
      </c>
      <c r="AE94" t="str">
        <f>IF($B94=733,SUM($G94-(SUM($H94:$I94))),"")</f>
        <v/>
      </c>
      <c r="AF94" t="n">
        <f>IF($B94=734,SUM($G94-(SUM($H94:$I94))),"")</f>
        <v>0.0</v>
      </c>
      <c r="AG94" t="str">
        <f>IF($B94=705,SUM($G94-(SUM($H94:$I94))),"")</f>
        <v/>
      </c>
      <c r="AH94" t="str">
        <f>IF($B94=735,SUM($G94-(SUM($H94:$I94))),"")</f>
        <v/>
      </c>
      <c r="AI94" t="str">
        <f>IF($B94=736,SUM($G94-(SUM($H94:$I94))),"")</f>
        <v/>
      </c>
      <c r="AJ94" t="str">
        <f>IF($B94=737,SUM($G94-(SUM($H94:$I94))),"")</f>
        <v/>
      </c>
      <c r="AK94" t="str">
        <f>IF($B94=725,SUM($G94-(SUM($H94:$I94))),"")</f>
        <v/>
      </c>
      <c r="AL94" t="str">
        <f>IF($B94=735,SUM($G94-(SUM($H94:$I94))),"")</f>
        <v/>
      </c>
      <c r="AM94" t="str">
        <f>IF($B94=727,SUM($G94-(SUM($H94:$I94))),"")</f>
        <v/>
      </c>
      <c r="AN94" t="str">
        <f>IF($B94=718,SUM($G94-(SUM($H94:$I94))),"")</f>
        <v/>
      </c>
      <c r="AO94" t="str">
        <f>IF($B94=719,SUM($G94-(SUM($H94:$I94))),"")</f>
        <v/>
      </c>
      <c r="AP94" t="str">
        <f>IF($B94=717,SUM($G94-(SUM($H94:$I94))),"")</f>
        <v/>
      </c>
      <c r="AQ94" t="str">
        <f>IF($B94=722,SUM($G94-(SUM($H94:$I94))),"")</f>
        <v/>
      </c>
      <c r="AR94" t="str">
        <f>IF($B94=708,SUM($G94-(SUM($H94:$I94))),"")</f>
        <v/>
      </c>
      <c r="AS94" t="str">
        <f>IF($B94=701,SUM($G94-(SUM($H94:$I94))),"")</f>
        <v/>
      </c>
      <c r="AT94" t="str">
        <f>IF($B94=702,SUM($G94-(SUM($H94:$I94))),"")</f>
        <v/>
      </c>
      <c r="AU94" t="str">
        <f>IF($B94=731,SUM($G94-(SUM($H94:$I94))),"")</f>
        <v/>
      </c>
      <c r="AV94" t="str">
        <f>IF($B94=730,SUM($G94-(SUM($H94:$I94))),"")</f>
        <v/>
      </c>
    </row>
    <row r="95">
      <c r="B95" t="n" s="0">
        <v>724.0</v>
      </c>
      <c r="C95" t="s">
        <v>66</v>
      </c>
      <c r="D95" t="n">
        <f>D94+G95</f>
        <v>0.0</v>
      </c>
      <c r="F95" t="n">
        <f>SUM(H95:AV95)-G95</f>
        <v>0.0</v>
      </c>
      <c r="G95" s="2" t="n">
        <f>-(OtherCalculation!C15)</f>
        <v>0.0</v>
      </c>
      <c r="H95" t="str">
        <f>IF(G95/23*3&gt;0,SUM(G95/23*3),"")</f>
        <v/>
      </c>
      <c r="J95" t="str">
        <f>IF($B95=707,SUM($G95-(SUM($H95:$I95))),"")</f>
        <v/>
      </c>
      <c r="K95" t="str">
        <f>IF($B95=706,SUM($G95-(SUM($H95:$I95))),"")</f>
        <v/>
      </c>
      <c r="L95" t="str">
        <f>IF($B95=703,SUM($G95-(SUM($H95:$I95))),"")</f>
        <v/>
      </c>
      <c r="M95" t="str">
        <f>IF($B95=704,SUM($G95-(SUM($H95:$I95))),"")</f>
        <v/>
      </c>
      <c r="N95" t="str">
        <f>IF($B95=709,SUM($G95-(SUM($H95:$I95))),"")</f>
        <v/>
      </c>
      <c r="O95" t="str">
        <f>IF($B95=738,SUM($G95-(SUM($H95:$I95))),"")</f>
        <v/>
      </c>
      <c r="P95" t="str">
        <f>IF($B95=739,SUM($G95-(SUM($H95:$I95))),"")</f>
        <v/>
      </c>
      <c r="Q95" t="str">
        <f>IF($B95=714,SUM($G95-(SUM($H95:$I95))),"")</f>
        <v/>
      </c>
      <c r="R95" t="str">
        <f>IF($B95=710,SUM($G95-(SUM($H95:$I95))),"")</f>
        <v/>
      </c>
      <c r="S95" t="str">
        <f>IF($B95=711,SUM($G95-(SUM($H95:$I95))),"")</f>
        <v/>
      </c>
      <c r="T95" t="str">
        <f>IF($B95=712,SUM($G95-(SUM($H95:$I95))),"")</f>
        <v/>
      </c>
      <c r="U95" t="str">
        <f>IF($B95=713,SUM($G95-(SUM($H95:$I95))),"")</f>
        <v/>
      </c>
      <c r="V95" t="str">
        <f>IF($B95=715,SUM($G95-(SUM($H95:$I95))),"")</f>
        <v/>
      </c>
      <c r="W95" t="n">
        <f>IF($B95=724,SUM($G95-(SUM($H95:$I95))),"")</f>
        <v>0.0</v>
      </c>
      <c r="X95" t="str">
        <f>IF($B95=725,SUM($G95-(SUM($H95:$I95))),"")</f>
        <v/>
      </c>
      <c r="Y95" t="str">
        <f>IF($B95=726,SUM($G95-(SUM($H95:$I95))),"")</f>
        <v/>
      </c>
      <c r="Z95" t="str">
        <f>IF($B95=727,SUM($G95-(SUM($H95:$I95))),"")</f>
        <v/>
      </c>
      <c r="AA95" t="str">
        <f>IF($B95=728,SUM($G95-(SUM($H95:$I95))),"")</f>
        <v/>
      </c>
      <c r="AB95" t="str">
        <f>IF($B95=729,SUM($G95-(SUM($H95:$I95))),"")</f>
        <v/>
      </c>
      <c r="AC95" t="str">
        <f>IF($B95=730,SUM($G95-(SUM($H95:$I95))),"")</f>
        <v/>
      </c>
      <c r="AD95" t="str">
        <f>IF($B95=732,SUM($G95-(SUM($H95:$I95))),"")</f>
        <v/>
      </c>
      <c r="AE95" t="str">
        <f>IF($B95=733,SUM($G95-(SUM($H95:$I95))),"")</f>
        <v/>
      </c>
      <c r="AF95" t="str">
        <f>IF($B95=734,SUM($G95-(SUM($H95:$I95))),"")</f>
        <v/>
      </c>
      <c r="AG95" t="str">
        <f>IF($B95=705,SUM($G95-(SUM($H95:$I95))),"")</f>
        <v/>
      </c>
      <c r="AH95" t="str">
        <f>IF($B95=735,SUM($G95-(SUM($H95:$I95))),"")</f>
        <v/>
      </c>
      <c r="AI95" t="str">
        <f>IF($B95=736,SUM($G95-(SUM($H95:$I95))),"")</f>
        <v/>
      </c>
      <c r="AJ95" t="str">
        <f>IF($B95=737,SUM($G95-(SUM($H95:$I95))),"")</f>
        <v/>
      </c>
      <c r="AK95" t="str">
        <f>IF($B95=725,SUM($G95-(SUM($H95:$I95))),"")</f>
        <v/>
      </c>
      <c r="AL95" t="str">
        <f>IF($B95=735,SUM($G95-(SUM($H95:$I95))),"")</f>
        <v/>
      </c>
      <c r="AM95" t="str">
        <f>IF($B95=727,SUM($G95-(SUM($H95:$I95))),"")</f>
        <v/>
      </c>
      <c r="AN95" t="str">
        <f>IF($B95=718,SUM($G95-(SUM($H95:$I95))),"")</f>
        <v/>
      </c>
      <c r="AO95" t="str">
        <f>IF($B95=719,SUM($G95-(SUM($H95:$I95))),"")</f>
        <v/>
      </c>
      <c r="AP95" t="str">
        <f>IF($B95=717,SUM($G95-(SUM($H95:$I95))),"")</f>
        <v/>
      </c>
      <c r="AQ95" t="str">
        <f>IF($B95=722,SUM($G95-(SUM($H95:$I95))),"")</f>
        <v/>
      </c>
      <c r="AR95" t="str">
        <f>IF($B95=708,SUM($G95-(SUM($H95:$I95))),"")</f>
        <v/>
      </c>
      <c r="AS95" t="str">
        <f>IF($B95=701,SUM($G95-(SUM($H95:$I95))),"")</f>
        <v/>
      </c>
      <c r="AT95" t="str">
        <f>IF($B95=702,SUM($G95-(SUM($H95:$I95))),"")</f>
        <v/>
      </c>
      <c r="AU95" t="str">
        <f>IF($B95=731,SUM($G95-(SUM($H95:$I95))),"")</f>
        <v/>
      </c>
      <c r="AV95" t="str">
        <f>IF($B95=730,SUM($G95-(SUM($H95:$I95))),"")</f>
        <v/>
      </c>
    </row>
    <row r="96">
      <c r="B96" t="n" s="0">
        <v>710.0</v>
      </c>
      <c r="C96" t="s">
        <v>61</v>
      </c>
      <c r="D96" t="n">
        <f>D95+G96</f>
        <v>0.0</v>
      </c>
      <c r="F96" t="n">
        <f>SUM(H96:AV96)-G96</f>
        <v>0.0</v>
      </c>
      <c r="G96" s="2" t="n">
        <v>0.0</v>
      </c>
      <c r="H96" t="str">
        <f>IF(G96/23*3&gt;0,SUM(G96/23*3),"")</f>
        <v/>
      </c>
      <c r="J96" t="str">
        <f>IF($B96=707,SUM($G96-(SUM($H96:$I96))),"")</f>
        <v/>
      </c>
      <c r="K96" t="str">
        <f>IF($B96=706,SUM($G96-(SUM($H96:$I96))),"")</f>
        <v/>
      </c>
      <c r="L96" t="str">
        <f>IF($B96=703,SUM($G96-(SUM($H96:$I96))),"")</f>
        <v/>
      </c>
      <c r="M96" t="str">
        <f>IF($B96=704,SUM($G96-(SUM($H96:$I96))),"")</f>
        <v/>
      </c>
      <c r="N96" t="str">
        <f>IF($B96=709,SUM($G96-(SUM($H96:$I96))),"")</f>
        <v/>
      </c>
      <c r="O96" t="str">
        <f>IF($B96=738,SUM($G96-(SUM($H96:$I96))),"")</f>
        <v/>
      </c>
      <c r="P96" t="str">
        <f>IF($B96=739,SUM($G96-(SUM($H96:$I96))),"")</f>
        <v/>
      </c>
      <c r="Q96" t="str">
        <f>IF($B96=714,SUM($G96-(SUM($H96:$I96))),"")</f>
        <v/>
      </c>
      <c r="R96" t="n">
        <f>IF($B96=710,SUM($G96-(SUM($H96:$I96))),"")</f>
        <v>0.0</v>
      </c>
      <c r="S96" t="str">
        <f>IF($B96=711,SUM($G96-(SUM($H96:$I96))),"")</f>
        <v/>
      </c>
      <c r="T96" t="str">
        <f>IF($B96=712,SUM($G96-(SUM($H96:$I96))),"")</f>
        <v/>
      </c>
      <c r="U96" t="str">
        <f>IF($B96=713,SUM($G96-(SUM($H96:$I96))),"")</f>
        <v/>
      </c>
      <c r="V96" t="str">
        <f>IF($B96=715,SUM($G96-(SUM($H96:$I96))),"")</f>
        <v/>
      </c>
      <c r="W96" t="str">
        <f>IF($B96=724,SUM($G96-(SUM($H96:$I96))),"")</f>
        <v/>
      </c>
      <c r="X96" t="str">
        <f>IF($B96=725,SUM($G96-(SUM($H96:$I96))),"")</f>
        <v/>
      </c>
      <c r="Y96" t="str">
        <f>IF($B96=726,SUM($G96-(SUM($H96:$I96))),"")</f>
        <v/>
      </c>
      <c r="Z96" t="str">
        <f>IF($B96=727,SUM($G96-(SUM($H96:$I96))),"")</f>
        <v/>
      </c>
      <c r="AA96" t="str">
        <f>IF($B96=728,SUM($G96-(SUM($H96:$I96))),"")</f>
        <v/>
      </c>
      <c r="AB96" t="str">
        <f>IF($B96=729,SUM($G96-(SUM($H96:$I96))),"")</f>
        <v/>
      </c>
      <c r="AC96" t="str">
        <f>IF($B96=730,SUM($G96-(SUM($H96:$I96))),"")</f>
        <v/>
      </c>
      <c r="AD96" t="str">
        <f>IF($B96=732,SUM($G96-(SUM($H96:$I96))),"")</f>
        <v/>
      </c>
      <c r="AE96" t="str">
        <f>IF($B96=733,SUM($G96-(SUM($H96:$I96))),"")</f>
        <v/>
      </c>
      <c r="AF96" t="str">
        <f>IF($B96=734,SUM($G96-(SUM($H96:$I96))),"")</f>
        <v/>
      </c>
      <c r="AG96" t="str">
        <f>IF($B96=705,SUM($G96-(SUM($H96:$I96))),"")</f>
        <v/>
      </c>
      <c r="AH96" t="str">
        <f>IF($B96=735,SUM($G96-(SUM($H96:$I96))),"")</f>
        <v/>
      </c>
      <c r="AI96" t="str">
        <f>IF($B96=736,SUM($G96-(SUM($H96:$I96))),"")</f>
        <v/>
      </c>
      <c r="AJ96" t="str">
        <f>IF($B96=737,SUM($G96-(SUM($H96:$I96))),"")</f>
        <v/>
      </c>
      <c r="AK96" t="str">
        <f>IF($B96=725,SUM($G96-(SUM($H96:$I96))),"")</f>
        <v/>
      </c>
      <c r="AL96" t="str">
        <f>IF($B96=735,SUM($G96-(SUM($H96:$I96))),"")</f>
        <v/>
      </c>
      <c r="AM96" t="str">
        <f>IF($B96=727,SUM($G96-(SUM($H96:$I96))),"")</f>
        <v/>
      </c>
      <c r="AN96" t="str">
        <f>IF($B96=718,SUM($G96-(SUM($H96:$I96))),"")</f>
        <v/>
      </c>
      <c r="AO96" t="str">
        <f>IF($B96=719,SUM($G96-(SUM($H96:$I96))),"")</f>
        <v/>
      </c>
      <c r="AP96" t="str">
        <f>IF($B96=717,SUM($G96-(SUM($H96:$I96))),"")</f>
        <v/>
      </c>
      <c r="AQ96" t="str">
        <f>IF($B96=722,SUM($G96-(SUM($H96:$I96))),"")</f>
        <v/>
      </c>
      <c r="AR96" t="str">
        <f>IF($B96=708,SUM($G96-(SUM($H96:$I96))),"")</f>
        <v/>
      </c>
      <c r="AS96" t="str">
        <f>IF($B96=701,SUM($G96-(SUM($H96:$I96))),"")</f>
        <v/>
      </c>
      <c r="AT96" t="str">
        <f>IF($B96=702,SUM($G96-(SUM($H96:$I96))),"")</f>
        <v/>
      </c>
      <c r="AU96" t="str">
        <f>IF($B96=731,SUM($G96-(SUM($H96:$I96))),"")</f>
        <v/>
      </c>
      <c r="AV96" t="str">
        <f>IF($B96=730,SUM($G96-(SUM($H96:$I96))),"")</f>
        <v/>
      </c>
    </row>
    <row r="97">
      <c r="B97" t="n" s="0">
        <v>733.0</v>
      </c>
      <c r="C97" t="s">
        <v>83</v>
      </c>
      <c r="D97" t="n">
        <f>D96+G97</f>
        <v>0.0</v>
      </c>
      <c r="F97" t="n">
        <f>SUM(H97:AV97)-G97</f>
        <v>0.0</v>
      </c>
      <c r="G97" s="2" t="n">
        <v>0.0</v>
      </c>
      <c r="H97" t="str">
        <f>IF(G97/23*3&gt;0,SUM(G97/23*3),"")</f>
        <v/>
      </c>
      <c r="I97" t="str">
        <f>IF(G97/23*3&lt;0,SUM(G97/23*3),"")</f>
        <v/>
      </c>
      <c r="J97" t="str">
        <f>IF($B97=707,SUM($G97-(SUM($H97:$I97))),"")</f>
        <v/>
      </c>
      <c r="K97" t="str">
        <f>IF($B97=706,SUM($G97-(SUM($H97:$I97))),"")</f>
        <v/>
      </c>
      <c r="L97" t="str">
        <f>IF($B97=703,SUM($G97-(SUM($H97:$I97))),"")</f>
        <v/>
      </c>
      <c r="M97" t="str">
        <f>IF($B97=704,SUM($G97-(SUM($H97:$I97))),"")</f>
        <v/>
      </c>
      <c r="N97" t="str">
        <f>IF($B97=709,SUM($G97-(SUM($H97:$I97))),"")</f>
        <v/>
      </c>
      <c r="O97" t="str">
        <f>IF($B97=738,SUM($G97-(SUM($H97:$I97))),"")</f>
        <v/>
      </c>
      <c r="P97" t="str">
        <f>IF($B97=739,SUM($G97-(SUM($H97:$I97))),"")</f>
        <v/>
      </c>
      <c r="Q97" t="str">
        <f>IF($B97=714,SUM($G97-(SUM($H97:$I97))),"")</f>
        <v/>
      </c>
      <c r="R97" t="str">
        <f>IF($B97=710,SUM($G97-(SUM($H97:$I97))),"")</f>
        <v/>
      </c>
      <c r="S97" t="str">
        <f>IF($B97=711,SUM($G97-(SUM($H97:$I97))),"")</f>
        <v/>
      </c>
      <c r="T97" t="str">
        <f>IF($B97=712,SUM($G97-(SUM($H97:$I97))),"")</f>
        <v/>
      </c>
      <c r="U97" t="str">
        <f>IF($B97=713,SUM($G97-(SUM($H97:$I97))),"")</f>
        <v/>
      </c>
      <c r="V97" t="str">
        <f>IF($B97=715,SUM($G97-(SUM($H97:$I97))),"")</f>
        <v/>
      </c>
      <c r="W97" t="str">
        <f>IF($B97=724,SUM($G97-(SUM($H97:$I97))),"")</f>
        <v/>
      </c>
      <c r="X97" t="str">
        <f>IF($B97=725,SUM($G97-(SUM($H97:$I97))),"")</f>
        <v/>
      </c>
      <c r="Y97" t="str">
        <f>IF($B97=726,SUM($G97-(SUM($H97:$I97))),"")</f>
        <v/>
      </c>
      <c r="Z97" t="str">
        <f>IF($B97=727,SUM($G97-(SUM($H97:$I97))),"")</f>
        <v/>
      </c>
      <c r="AA97" t="str">
        <f>IF($B97=728,SUM($G97-(SUM($H97:$I97))),"")</f>
        <v/>
      </c>
      <c r="AB97" t="str">
        <f>IF($B97=729,SUM($G97-(SUM($H97:$I97))),"")</f>
        <v/>
      </c>
      <c r="AC97" t="str">
        <f>IF($B97=730,SUM($G97-(SUM($H97:$I97))),"")</f>
        <v/>
      </c>
      <c r="AD97" t="str">
        <f>IF($B97=732,SUM($G97-(SUM($H97:$I97))),"")</f>
        <v/>
      </c>
      <c r="AE97" t="n">
        <f>IF($B97=733,SUM($G97-(SUM($H97:$I97))),"")</f>
        <v>0.0</v>
      </c>
      <c r="AF97" t="str">
        <f>IF($B97=734,SUM($G97-(SUM($H97:$I97))),"")</f>
        <v/>
      </c>
      <c r="AG97" t="str">
        <f>IF($B97=705,SUM($G97-(SUM($H97:$I97))),"")</f>
        <v/>
      </c>
      <c r="AH97" t="str">
        <f>IF($B97=735,SUM($G97-(SUM($H97:$I97))),"")</f>
        <v/>
      </c>
      <c r="AI97" t="str">
        <f>IF($B97=736,SUM($G97-(SUM($H97:$I97))),"")</f>
        <v/>
      </c>
      <c r="AJ97" t="str">
        <f>IF($B97=737,SUM($G97-(SUM($H97:$I97))),"")</f>
        <v/>
      </c>
      <c r="AK97" t="str">
        <f>IF($B97=725,SUM($G97-(SUM($H97:$I97))),"")</f>
        <v/>
      </c>
      <c r="AL97" t="str">
        <f>IF($B97=735,SUM($G97-(SUM($H97:$I97))),"")</f>
        <v/>
      </c>
      <c r="AM97" t="str">
        <f>IF($B97=727,SUM($G97-(SUM($H97:$I97))),"")</f>
        <v/>
      </c>
      <c r="AN97" t="str">
        <f>IF($B97=718,SUM($G97-(SUM($H97:$I97))),"")</f>
        <v/>
      </c>
      <c r="AO97" t="str">
        <f>IF($B97=719,SUM($G97-(SUM($H97:$I97))),"")</f>
        <v/>
      </c>
      <c r="AP97" t="str">
        <f>IF($B97=717,SUM($G97-(SUM($H97:$I97))),"")</f>
        <v/>
      </c>
      <c r="AQ97" t="str">
        <f>IF($B97=722,SUM($G97-(SUM($H97:$I97))),"")</f>
        <v/>
      </c>
      <c r="AR97" t="str">
        <f>IF($B97=708,SUM($G97-(SUM($H97:$I97))),"")</f>
        <v/>
      </c>
      <c r="AS97" t="str">
        <f>IF($B97=701,SUM($G97-(SUM($H97:$I97))),"")</f>
        <v/>
      </c>
      <c r="AT97" t="str">
        <f>IF($B97=702,SUM($G97-(SUM($H97:$I97))),"")</f>
        <v/>
      </c>
      <c r="AU97" t="str">
        <f>IF($B97=731,SUM($G97-(SUM($H97:$I97))),"")</f>
        <v/>
      </c>
      <c r="AV97" t="str">
        <f>IF($B97=730,SUM($G97-(SUM($H97:$I97))),"")</f>
        <v/>
      </c>
    </row>
    <row r="98">
      <c r="B98" t="n" s="0">
        <v>734.0</v>
      </c>
      <c r="C98" t="s">
        <v>75</v>
      </c>
      <c r="D98" t="n">
        <f>D97+G98</f>
        <v>0.0</v>
      </c>
      <c r="F98" t="n">
        <f>SUM(H98:AV98)-G98</f>
        <v>0.0</v>
      </c>
      <c r="G98" s="2" t="n">
        <v>0.0</v>
      </c>
      <c r="H98" t="str">
        <f>IF(G98/23*3&gt;0,SUM(G98/23*3),"")</f>
        <v/>
      </c>
      <c r="I98" t="str">
        <f>IF(G98/23*3&lt;0,SUM(G98/23*3),"")</f>
        <v/>
      </c>
      <c r="J98" t="str">
        <f>IF($B98=707,SUM($G98-(SUM($H98:$I98))),"")</f>
        <v/>
      </c>
      <c r="K98" t="str">
        <f>IF($B98=706,SUM($G98-(SUM($H98:$I98))),"")</f>
        <v/>
      </c>
      <c r="L98" t="str">
        <f>IF($B98=703,SUM($G98-(SUM($H98:$I98))),"")</f>
        <v/>
      </c>
      <c r="M98" t="str">
        <f>IF($B98=704,SUM($G98-(SUM($H98:$I98))),"")</f>
        <v/>
      </c>
      <c r="N98" t="str">
        <f>IF($B98=709,SUM($G98-(SUM($H98:$I98))),"")</f>
        <v/>
      </c>
      <c r="O98" t="str">
        <f>IF($B98=738,SUM($G98-(SUM($H98:$I98))),"")</f>
        <v/>
      </c>
      <c r="P98" t="str">
        <f>IF($B98=739,SUM($G98-(SUM($H98:$I98))),"")</f>
        <v/>
      </c>
      <c r="Q98" t="str">
        <f>IF($B98=714,SUM($G98-(SUM($H98:$I98))),"")</f>
        <v/>
      </c>
      <c r="R98" t="str">
        <f>IF($B98=710,SUM($G98-(SUM($H98:$I98))),"")</f>
        <v/>
      </c>
      <c r="S98" t="str">
        <f>IF($B98=711,SUM($G98-(SUM($H98:$I98))),"")</f>
        <v/>
      </c>
      <c r="T98" t="str">
        <f>IF($B98=712,SUM($G98-(SUM($H98:$I98))),"")</f>
        <v/>
      </c>
      <c r="U98" t="str">
        <f>IF($B98=713,SUM($G98-(SUM($H98:$I98))),"")</f>
        <v/>
      </c>
      <c r="V98" t="str">
        <f>IF($B98=715,SUM($G98-(SUM($H98:$I98))),"")</f>
        <v/>
      </c>
      <c r="W98" t="str">
        <f>IF($B98=724,SUM($G98-(SUM($H98:$I98))),"")</f>
        <v/>
      </c>
      <c r="X98" t="str">
        <f>IF($B98=725,SUM($G98-(SUM($H98:$I98))),"")</f>
        <v/>
      </c>
      <c r="Y98" t="str">
        <f>IF($B98=726,SUM($G98-(SUM($H98:$I98))),"")</f>
        <v/>
      </c>
      <c r="Z98" t="str">
        <f>IF($B98=727,SUM($G98-(SUM($H98:$I98))),"")</f>
        <v/>
      </c>
      <c r="AA98" t="str">
        <f>IF($B98=728,SUM($G98-(SUM($H98:$I98))),"")</f>
        <v/>
      </c>
      <c r="AB98" t="str">
        <f>IF($B98=729,SUM($G98-(SUM($H98:$I98))),"")</f>
        <v/>
      </c>
      <c r="AC98" t="str">
        <f>IF($B98=730,SUM($G98-(SUM($H98:$I98))),"")</f>
        <v/>
      </c>
      <c r="AD98" t="str">
        <f>IF($B98=732,SUM($G98-(SUM($H98:$I98))),"")</f>
        <v/>
      </c>
      <c r="AE98" t="str">
        <f>IF($B98=733,SUM($G98-(SUM($H98:$I98))),"")</f>
        <v/>
      </c>
      <c r="AF98" t="n">
        <f>IF($B98=734,SUM($G98-(SUM($H98:$I98))),"")</f>
        <v>0.0</v>
      </c>
      <c r="AG98" t="str">
        <f>IF($B98=705,SUM($G98-(SUM($H98:$I98))),"")</f>
        <v/>
      </c>
      <c r="AH98" t="str">
        <f>IF($B98=735,SUM($G98-(SUM($H98:$I98))),"")</f>
        <v/>
      </c>
      <c r="AI98" t="str">
        <f>IF($B98=736,SUM($G98-(SUM($H98:$I98))),"")</f>
        <v/>
      </c>
      <c r="AJ98" t="str">
        <f>IF($B98=737,SUM($G98-(SUM($H98:$I98))),"")</f>
        <v/>
      </c>
      <c r="AK98" t="str">
        <f>IF($B98=725,SUM($G98-(SUM($H98:$I98))),"")</f>
        <v/>
      </c>
      <c r="AL98" t="str">
        <f>IF($B98=735,SUM($G98-(SUM($H98:$I98))),"")</f>
        <v/>
      </c>
      <c r="AM98" t="str">
        <f>IF($B98=727,SUM($G98-(SUM($H98:$I98))),"")</f>
        <v/>
      </c>
      <c r="AN98" t="str">
        <f>IF($B98=718,SUM($G98-(SUM($H98:$I98))),"")</f>
        <v/>
      </c>
      <c r="AO98" t="str">
        <f>IF($B98=719,SUM($G98-(SUM($H98:$I98))),"")</f>
        <v/>
      </c>
      <c r="AP98" t="str">
        <f>IF($B98=717,SUM($G98-(SUM($H98:$I98))),"")</f>
        <v/>
      </c>
      <c r="AQ98" t="str">
        <f>IF($B98=722,SUM($G98-(SUM($H98:$I98))),"")</f>
        <v/>
      </c>
      <c r="AR98" t="str">
        <f>IF($B98=708,SUM($G98-(SUM($H98:$I98))),"")</f>
        <v/>
      </c>
      <c r="AS98" t="str">
        <f>IF($B98=701,SUM($G98-(SUM($H98:$I98))),"")</f>
        <v/>
      </c>
      <c r="AT98" t="str">
        <f>IF($B98=702,SUM($G98-(SUM($H98:$I98))),"")</f>
        <v/>
      </c>
      <c r="AU98" t="str">
        <f>IF($B98=731,SUM($G98-(SUM($H98:$I98))),"")</f>
        <v/>
      </c>
      <c r="AV98" t="str">
        <f>IF($B98=730,SUM($G98-(SUM($H98:$I98))),"")</f>
        <v/>
      </c>
    </row>
    <row r="99">
      <c r="B99" t="n" s="0">
        <v>739.0</v>
      </c>
      <c r="C99" t="s">
        <v>84</v>
      </c>
      <c r="D99" t="n">
        <f>D98+G99</f>
        <v>0.0</v>
      </c>
      <c r="F99" t="n">
        <f>SUM(H99:AV99)-G99</f>
        <v>0.0</v>
      </c>
      <c r="G99" s="2" t="n">
        <v>0.0</v>
      </c>
      <c r="H99" t="str">
        <f>IF(G99/23*3&gt;0,SUM(G99/23*3),"")</f>
        <v/>
      </c>
      <c r="I99" t="n">
        <v>0.0</v>
      </c>
      <c r="J99" t="str">
        <f>IF($B99=707,SUM($G99-(SUM($H99:$I99))),"")</f>
        <v/>
      </c>
      <c r="K99" t="str">
        <f>IF($B99=706,SUM($G99-(SUM($H99:$I99))),"")</f>
        <v/>
      </c>
      <c r="L99" t="str">
        <f>IF($B99=703,SUM($G99-(SUM($H99:$I99))),"")</f>
        <v/>
      </c>
      <c r="M99" t="str">
        <f>IF($B99=704,SUM($G99-(SUM($H99:$I99))),"")</f>
        <v/>
      </c>
      <c r="N99" t="str">
        <f>IF($B99=709,SUM($G99-(SUM($H99:$I99))),"")</f>
        <v/>
      </c>
      <c r="O99" t="str">
        <f>IF($B99=738,SUM($G99-(SUM($H99:$I99))),"")</f>
        <v/>
      </c>
      <c r="P99" t="n">
        <f>IF($B99=739,SUM($G99-(SUM($H99:$I99))),"")</f>
        <v>0.0</v>
      </c>
      <c r="Q99" t="str">
        <f>IF($B99=714,SUM($G99-(SUM($H99:$I99))),"")</f>
        <v/>
      </c>
      <c r="R99" t="str">
        <f>IF($B99=710,SUM($G99-(SUM($H99:$I99))),"")</f>
        <v/>
      </c>
      <c r="S99" t="str">
        <f>IF($B99=711,SUM($G99-(SUM($H99:$I99))),"")</f>
        <v/>
      </c>
      <c r="T99" t="str">
        <f>IF($B99=712,SUM($G99-(SUM($H99:$I99))),"")</f>
        <v/>
      </c>
      <c r="U99" t="str">
        <f>IF($B99=713,SUM($G99-(SUM($H99:$I99))),"")</f>
        <v/>
      </c>
      <c r="V99" t="str">
        <f>IF($B99=715,SUM($G99-(SUM($H99:$I99))),"")</f>
        <v/>
      </c>
      <c r="W99" t="str">
        <f>IF($B99=724,SUM($G99-(SUM($H99:$I99))),"")</f>
        <v/>
      </c>
      <c r="X99" t="str">
        <f>IF($B99=725,SUM($G99-(SUM($H99:$I99))),"")</f>
        <v/>
      </c>
      <c r="Y99" t="str">
        <f>IF($B99=726,SUM($G99-(SUM($H99:$I99))),"")</f>
        <v/>
      </c>
      <c r="Z99" t="str">
        <f>IF($B99=727,SUM($G99-(SUM($H99:$I99))),"")</f>
        <v/>
      </c>
      <c r="AA99" t="str">
        <f>IF($B99=728,SUM($G99-(SUM($H99:$I99))),"")</f>
        <v/>
      </c>
      <c r="AB99" t="str">
        <f>IF($B99=729,SUM($G99-(SUM($H99:$I99))),"")</f>
        <v/>
      </c>
      <c r="AC99" t="str">
        <f>IF($B99=730,SUM($G99-(SUM($H99:$I99))),"")</f>
        <v/>
      </c>
      <c r="AD99" t="str">
        <f>IF($B99=732,SUM($G99-(SUM($H99:$I99))),"")</f>
        <v/>
      </c>
      <c r="AE99" t="str">
        <f>IF($B99=733,SUM($G99-(SUM($H99:$I99))),"")</f>
        <v/>
      </c>
      <c r="AF99" t="str">
        <f>IF($B99=734,SUM($G99-(SUM($H99:$I99))),"")</f>
        <v/>
      </c>
      <c r="AG99" t="str">
        <f>IF($B99=705,SUM($G99-(SUM($H99:$I99))),"")</f>
        <v/>
      </c>
      <c r="AH99" t="str">
        <f>IF($B99=735,SUM($G99-(SUM($H99:$I99))),"")</f>
        <v/>
      </c>
      <c r="AI99" t="str">
        <f>IF($B99=736,SUM($G99-(SUM($H99:$I99))),"")</f>
        <v/>
      </c>
      <c r="AJ99" t="str">
        <f>IF($B99=737,SUM($G99-(SUM($H99:$I99))),"")</f>
        <v/>
      </c>
      <c r="AK99" t="str">
        <f>IF($B99=725,SUM($G99-(SUM($H99:$I99))),"")</f>
        <v/>
      </c>
      <c r="AL99" t="str">
        <f>IF($B99=735,SUM($G99-(SUM($H99:$I99))),"")</f>
        <v/>
      </c>
      <c r="AM99" t="str">
        <f>IF($B99=727,SUM($G99-(SUM($H99:$I99))),"")</f>
        <v/>
      </c>
      <c r="AN99" t="str">
        <f>IF($B99=718,SUM($G99-(SUM($H99:$I99))),"")</f>
        <v/>
      </c>
      <c r="AO99" t="str">
        <f>IF($B99=719,SUM($G99-(SUM($H99:$I99))),"")</f>
        <v/>
      </c>
      <c r="AP99" t="str">
        <f>IF($B99=717,SUM($G99-(SUM($H99:$I99))),"")</f>
        <v/>
      </c>
      <c r="AQ99" t="str">
        <f>IF($B99=722,SUM($G99-(SUM($H99:$I99))),"")</f>
        <v/>
      </c>
      <c r="AR99" t="str">
        <f>IF($B99=708,SUM($G99-(SUM($H99:$I99))),"")</f>
        <v/>
      </c>
      <c r="AS99" t="str">
        <f>IF($B99=701,SUM($G99-(SUM($H99:$I99))),"")</f>
        <v/>
      </c>
      <c r="AT99" t="str">
        <f>IF($B99=702,SUM($G99-(SUM($H99:$I99))),"")</f>
        <v/>
      </c>
      <c r="AU99" t="str">
        <f>IF($B99=731,SUM($G99-(SUM($H99:$I99))),"")</f>
        <v/>
      </c>
      <c r="AV99" t="str">
        <f>IF($B99=730,SUM($G99-(SUM($H99:$I99))),"")</f>
        <v/>
      </c>
    </row>
    <row r="100">
      <c r="B100" t="n" s="0">
        <v>711.0</v>
      </c>
      <c r="C100" t="s">
        <v>82</v>
      </c>
      <c r="D100" t="n">
        <f>D99+G100</f>
        <v>0.0</v>
      </c>
      <c r="F100" t="n">
        <f>SUM(H100:AV100)-G100</f>
        <v>0.0</v>
      </c>
      <c r="G100" s="2" t="n">
        <v>0.0</v>
      </c>
      <c r="H100" t="str">
        <f>IF(G100/23*3&gt;0,SUM(G100/23*3),"")</f>
        <v/>
      </c>
      <c r="I100" t="str">
        <f>IF(G100/23*3&lt;0,SUM(G100/23*3),"")</f>
        <v/>
      </c>
      <c r="J100" t="str">
        <f>IF($B100=707,SUM($G100-(SUM($H100:$I100))),"")</f>
        <v/>
      </c>
      <c r="K100" t="str">
        <f>IF($B100=706,SUM($G100-(SUM($H100:$I100))),"")</f>
        <v/>
      </c>
      <c r="L100" t="str">
        <f>IF($B100=703,SUM($G100-(SUM($H100:$I100))),"")</f>
        <v/>
      </c>
      <c r="M100" t="str">
        <f>IF($B100=704,SUM($G100-(SUM($H100:$I100))),"")</f>
        <v/>
      </c>
      <c r="N100" t="str">
        <f>IF($B100=709,SUM($G100-(SUM($H100:$I100))),"")</f>
        <v/>
      </c>
      <c r="O100" t="str">
        <f>IF($B100=738,SUM($G100-(SUM($H100:$I100))),"")</f>
        <v/>
      </c>
      <c r="P100" t="str">
        <f>IF($B100=739,SUM($G100-(SUM($H100:$I100))),"")</f>
        <v/>
      </c>
      <c r="Q100" t="str">
        <f>IF($B100=714,SUM($G100-(SUM($H100:$I100))),"")</f>
        <v/>
      </c>
      <c r="R100" t="str">
        <f>IF($B100=710,SUM($G100-(SUM($H100:$I100))),"")</f>
        <v/>
      </c>
      <c r="S100" t="n">
        <f>IF($B100=711,SUM($G100-(SUM($H100:$I100))),"")</f>
        <v>0.0</v>
      </c>
      <c r="T100" t="str">
        <f>IF($B100=712,SUM($G100-(SUM($H100:$I100))),"")</f>
        <v/>
      </c>
      <c r="U100" t="str">
        <f>IF($B100=713,SUM($G100-(SUM($H100:$I100))),"")</f>
        <v/>
      </c>
      <c r="V100" t="str">
        <f>IF($B100=715,SUM($G100-(SUM($H100:$I100))),"")</f>
        <v/>
      </c>
      <c r="W100" t="str">
        <f>IF($B100=724,SUM($G100-(SUM($H100:$I100))),"")</f>
        <v/>
      </c>
      <c r="X100" t="str">
        <f>IF($B100=725,SUM($G100-(SUM($H100:$I100))),"")</f>
        <v/>
      </c>
      <c r="Y100" t="str">
        <f>IF($B100=726,SUM($G100-(SUM($H100:$I100))),"")</f>
        <v/>
      </c>
      <c r="Z100" t="str">
        <f>IF($B100=727,SUM($G100-(SUM($H100:$I100))),"")</f>
        <v/>
      </c>
      <c r="AA100" t="str">
        <f>IF($B100=728,SUM($G100-(SUM($H100:$I100))),"")</f>
        <v/>
      </c>
      <c r="AB100" t="str">
        <f>IF($B100=729,SUM($G100-(SUM($H100:$I100))),"")</f>
        <v/>
      </c>
      <c r="AC100" t="str">
        <f>IF($B100=730,SUM($G100-(SUM($H100:$I100))),"")</f>
        <v/>
      </c>
      <c r="AD100" t="str">
        <f>IF($B100=732,SUM($G100-(SUM($H100:$I100))),"")</f>
        <v/>
      </c>
      <c r="AE100" t="str">
        <f>IF($B100=733,SUM($G100-(SUM($H100:$I100))),"")</f>
        <v/>
      </c>
      <c r="AF100" t="str">
        <f>IF($B100=734,SUM($G100-(SUM($H100:$I100))),"")</f>
        <v/>
      </c>
      <c r="AG100" t="str">
        <f>IF($B100=705,SUM($G100-(SUM($H100:$I100))),"")</f>
        <v/>
      </c>
      <c r="AH100" t="str">
        <f>IF($B100=735,SUM($G100-(SUM($H100:$I100))),"")</f>
        <v/>
      </c>
      <c r="AI100" t="str">
        <f>IF($B100=736,SUM($G100-(SUM($H100:$I100))),"")</f>
        <v/>
      </c>
      <c r="AJ100" t="str">
        <f>IF($B100=737,SUM($G100-(SUM($H100:$I100))),"")</f>
        <v/>
      </c>
      <c r="AK100" t="str">
        <f>IF($B100=725,SUM($G100-(SUM($H100:$I100))),"")</f>
        <v/>
      </c>
      <c r="AL100" t="str">
        <f>IF($B100=735,SUM($G100-(SUM($H100:$I100))),"")</f>
        <v/>
      </c>
      <c r="AM100" t="str">
        <f>IF($B100=727,SUM($G100-(SUM($H100:$I100))),"")</f>
        <v/>
      </c>
      <c r="AN100" t="str">
        <f>IF($B100=718,SUM($G100-(SUM($H100:$I100))),"")</f>
        <v/>
      </c>
      <c r="AO100" t="str">
        <f>IF($B100=719,SUM($G100-(SUM($H100:$I100))),"")</f>
        <v/>
      </c>
      <c r="AP100" t="str">
        <f>IF($B100=717,SUM($G100-(SUM($H100:$I100))),"")</f>
        <v/>
      </c>
      <c r="AQ100" t="str">
        <f>IF($B100=722,SUM($G100-(SUM($H100:$I100))),"")</f>
        <v/>
      </c>
      <c r="AR100" t="str">
        <f>IF($B100=708,SUM($G100-(SUM($H100:$I100))),"")</f>
        <v/>
      </c>
      <c r="AS100" t="str">
        <f>IF($B100=701,SUM($G100-(SUM($H100:$I100))),"")</f>
        <v/>
      </c>
      <c r="AT100" t="str">
        <f>IF($B100=702,SUM($G100-(SUM($H100:$I100))),"")</f>
        <v/>
      </c>
      <c r="AU100" t="str">
        <f>IF($B100=731,SUM($G100-(SUM($H100:$I100))),"")</f>
        <v/>
      </c>
      <c r="AV100" t="str">
        <f>IF($B100=730,SUM($G100-(SUM($H100:$I100))),"")</f>
        <v/>
      </c>
    </row>
    <row r="101">
      <c r="D101" t="n" s="0">
        <f>D100+G101</f>
        <v>0.0</v>
      </c>
      <c r="F101" t="n" s="0">
        <f>SUM(H101:AV101)-G101</f>
        <v>0.0</v>
      </c>
      <c r="G101" t="n" s="0">
        <v>0.0</v>
      </c>
      <c r="H101" t="str">
        <f>IF(G101/23*3&gt;0,SUM(G101/23*3),"")</f>
        <v/>
      </c>
      <c r="I101" t="str">
        <f>IF(G101/23*3&lt;0,SUM(G101/23*3),"")</f>
        <v/>
      </c>
      <c r="J101" t="str">
        <f>IF($B101=707,SUM($G101-(SUM($H101:$I101))),"")</f>
        <v/>
      </c>
      <c r="K101" t="str">
        <f>IF($B101=706,SUM($G101-(SUM($H101:$I101))),"")</f>
        <v/>
      </c>
      <c r="L101" t="str">
        <f>IF($B101=703,SUM($G101-(SUM($H101:$I101))),"")</f>
        <v/>
      </c>
      <c r="M101" t="str">
        <f>IF($B101=704,SUM($G101-(SUM($H101:$I101))),"")</f>
        <v/>
      </c>
      <c r="N101" t="str">
        <f>IF($B101=709,SUM($G101-(SUM($H101:$I101))),"")</f>
        <v/>
      </c>
      <c r="O101" t="str">
        <f>IF($B101=738,SUM($G101-(SUM($H101:$I101))),"")</f>
        <v/>
      </c>
      <c r="P101" t="str">
        <f>IF($B101=739,SUM($G101-(SUM($H101:$I101))),"")</f>
        <v/>
      </c>
      <c r="Q101" t="str">
        <f>IF($B101=714,SUM($G101-(SUM($H101:$I101))),"")</f>
        <v/>
      </c>
      <c r="R101" t="str">
        <f>IF($B101=710,SUM($G101-(SUM($H101:$I101))),"")</f>
        <v/>
      </c>
      <c r="S101" t="str">
        <f>IF($B101=711,SUM($G101-(SUM($H101:$I101))),"")</f>
        <v/>
      </c>
      <c r="T101" t="str">
        <f>IF($B101=712,SUM($G101-(SUM($H101:$I101))),"")</f>
        <v/>
      </c>
      <c r="U101" t="str">
        <f>IF($B101=713,SUM($G101-(SUM($H101:$I101))),"")</f>
        <v/>
      </c>
      <c r="V101" t="str">
        <f>IF($B101=715,SUM($G101-(SUM($H101:$I101))),"")</f>
        <v/>
      </c>
      <c r="W101" t="str">
        <f>IF($B101=724,SUM($G101-(SUM($H101:$I101))),"")</f>
        <v/>
      </c>
      <c r="X101" t="str">
        <f>IF($B101=725,SUM($G101-(SUM($H101:$I101))),"")</f>
        <v/>
      </c>
      <c r="Y101" t="str">
        <f>IF($B101=726,SUM($G101-(SUM($H101:$I101))),"")</f>
        <v/>
      </c>
      <c r="Z101" t="str">
        <f>IF($B101=727,SUM($G101-(SUM($H101:$I101))),"")</f>
        <v/>
      </c>
      <c r="AA101" t="str">
        <f>IF($B101=728,SUM($G101-(SUM($H101:$I101))),"")</f>
        <v/>
      </c>
      <c r="AB101" t="str">
        <f>IF($B101=729,SUM($G101-(SUM($H101:$I101))),"")</f>
        <v/>
      </c>
      <c r="AC101" t="str">
        <f>IF($B101=730,SUM($G101-(SUM($H101:$I101))),"")</f>
        <v/>
      </c>
      <c r="AD101" t="str">
        <f>IF($B101=732,SUM($G101-(SUM($H101:$I101))),"")</f>
        <v/>
      </c>
      <c r="AE101" t="str">
        <f>IF($B101=733,SUM($G101-(SUM($H101:$I101))),"")</f>
        <v/>
      </c>
      <c r="AF101" t="str">
        <f>IF($B101=734,SUM($G101-(SUM($H101:$I101))),"")</f>
        <v/>
      </c>
      <c r="AG101" t="str">
        <f>IF($B101=705,SUM($G101-(SUM($H101:$I101))),"")</f>
        <v/>
      </c>
      <c r="AH101" t="str">
        <f>IF($B101=735,SUM($G101-(SUM($H101:$I101))),"")</f>
        <v/>
      </c>
      <c r="AI101" t="str">
        <f>IF($B101=736,SUM($G101-(SUM($H101:$I101))),"")</f>
        <v/>
      </c>
      <c r="AJ101" t="str">
        <f>IF($B101=737,SUM($G101-(SUM($H101:$I101))),"")</f>
        <v/>
      </c>
      <c r="AK101" t="str">
        <f>IF($B101=725,SUM($G101-(SUM($H101:$I101))),"")</f>
        <v/>
      </c>
      <c r="AL101" t="str">
        <f>IF($B101=735,SUM($G101-(SUM($H101:$I101))),"")</f>
        <v/>
      </c>
      <c r="AM101" t="str">
        <f>IF($B101=727,SUM($G101-(SUM($H101:$I101))),"")</f>
        <v/>
      </c>
      <c r="AN101" t="str">
        <f>IF($B101=718,SUM($G101-(SUM($H101:$I101))),"")</f>
        <v/>
      </c>
      <c r="AO101" t="str">
        <f>IF($B101=719,SUM($G101-(SUM($H101:$I101))),"")</f>
        <v/>
      </c>
      <c r="AP101" t="str">
        <f>IF($B101=717,SUM($G101-(SUM($H101:$I101))),"")</f>
        <v/>
      </c>
      <c r="AQ101" t="str">
        <f>IF($B101=722,SUM($G101-(SUM($H101:$I101))),"")</f>
        <v/>
      </c>
      <c r="AR101" t="str">
        <f>IF($B101=708,SUM($G101-(SUM($H101:$I101))),"")</f>
        <v/>
      </c>
      <c r="AS101" t="str">
        <f>IF($B101=701,SUM($G101-(SUM($H101:$I101))),"")</f>
        <v/>
      </c>
      <c r="AT101" t="str">
        <f>IF($B101=702,SUM($G101-(SUM($H101:$I101))),"")</f>
        <v/>
      </c>
      <c r="AU101" t="str">
        <f>IF($B101=731,SUM($G101-(SUM($H101:$I101))),"")</f>
        <v/>
      </c>
      <c r="AV101" t="str">
        <f>IF($B101=730,SUM($G101-(SUM($H101:$I101))),"")</f>
        <v/>
      </c>
    </row>
    <row r="102">
      <c r="D102" t="n" s="0">
        <f>D101+G102</f>
        <v>0.0</v>
      </c>
      <c r="F102" t="n" s="0">
        <f>SUM(H102:AV102)-G102</f>
        <v>0.0</v>
      </c>
      <c r="G102" t="n" s="0">
        <v>0.0</v>
      </c>
      <c r="H102" t="str">
        <f>IF(G102/23*3&gt;0,SUM(G102/23*3),"")</f>
        <v/>
      </c>
      <c r="I102" t="str">
        <f>IF(G102/23*3&lt;0,SUM(G102/23*3),"")</f>
        <v/>
      </c>
      <c r="J102" t="str">
        <f>IF($B102=707,SUM($G102-(SUM($H102:$I102))),"")</f>
        <v/>
      </c>
      <c r="K102" t="str">
        <f>IF($B102=706,SUM($G102-(SUM($H102:$I102))),"")</f>
        <v/>
      </c>
      <c r="L102" t="str">
        <f>IF($B102=703,SUM($G102-(SUM($H102:$I102))),"")</f>
        <v/>
      </c>
      <c r="M102" t="str">
        <f>IF($B102=704,SUM($G102-(SUM($H102:$I102))),"")</f>
        <v/>
      </c>
      <c r="N102" t="str">
        <f>IF($B102=709,SUM($G102-(SUM($H102:$I102))),"")</f>
        <v/>
      </c>
      <c r="O102" t="str">
        <f>IF($B102=738,SUM($G102-(SUM($H102:$I102))),"")</f>
        <v/>
      </c>
      <c r="P102" t="str">
        <f>IF($B102=739,SUM($G102-(SUM($H102:$I102))),"")</f>
        <v/>
      </c>
      <c r="Q102" t="str">
        <f>IF($B102=714,SUM($G102-(SUM($H102:$I102))),"")</f>
        <v/>
      </c>
      <c r="R102" t="str">
        <f>IF($B102=710,SUM($G102-(SUM($H102:$I102))),"")</f>
        <v/>
      </c>
      <c r="S102" t="str">
        <f>IF($B102=711,SUM($G102-(SUM($H102:$I102))),"")</f>
        <v/>
      </c>
      <c r="T102" t="str">
        <f>IF($B102=712,SUM($G102-(SUM($H102:$I102))),"")</f>
        <v/>
      </c>
      <c r="U102" t="str">
        <f>IF($B102=713,SUM($G102-(SUM($H102:$I102))),"")</f>
        <v/>
      </c>
      <c r="V102" t="str">
        <f>IF($B102=715,SUM($G102-(SUM($H102:$I102))),"")</f>
        <v/>
      </c>
      <c r="W102" t="str">
        <f>IF($B102=724,SUM($G102-(SUM($H102:$I102))),"")</f>
        <v/>
      </c>
      <c r="X102" t="str">
        <f>IF($B102=725,SUM($G102-(SUM($H102:$I102))),"")</f>
        <v/>
      </c>
      <c r="Y102" t="str">
        <f>IF($B102=726,SUM($G102-(SUM($H102:$I102))),"")</f>
        <v/>
      </c>
      <c r="Z102" t="str">
        <f>IF($B102=727,SUM($G102-(SUM($H102:$I102))),"")</f>
        <v/>
      </c>
      <c r="AA102" t="str">
        <f>IF($B102=728,SUM($G102-(SUM($H102:$I102))),"")</f>
        <v/>
      </c>
      <c r="AB102" t="str">
        <f>IF($B102=729,SUM($G102-(SUM($H102:$I102))),"")</f>
        <v/>
      </c>
      <c r="AC102" t="str">
        <f>IF($B102=730,SUM($G102-(SUM($H102:$I102))),"")</f>
        <v/>
      </c>
      <c r="AD102" t="str">
        <f>IF($B102=732,SUM($G102-(SUM($H102:$I102))),"")</f>
        <v/>
      </c>
      <c r="AE102" t="str">
        <f>IF($B102=733,SUM($G102-(SUM($H102:$I102))),"")</f>
        <v/>
      </c>
      <c r="AF102" t="str">
        <f>IF($B102=734,SUM($G102-(SUM($H102:$I102))),"")</f>
        <v/>
      </c>
      <c r="AG102" t="str">
        <f>IF($B102=705,SUM($G102-(SUM($H102:$I102))),"")</f>
        <v/>
      </c>
      <c r="AH102" t="str">
        <f>IF($B102=735,SUM($G102-(SUM($H102:$I102))),"")</f>
        <v/>
      </c>
      <c r="AI102" t="str">
        <f>IF($B102=736,SUM($G102-(SUM($H102:$I102))),"")</f>
        <v/>
      </c>
      <c r="AJ102" t="str">
        <f>IF($B102=737,SUM($G102-(SUM($H102:$I102))),"")</f>
        <v/>
      </c>
      <c r="AK102" t="str">
        <f>IF($B102=725,SUM($G102-(SUM($H102:$I102))),"")</f>
        <v/>
      </c>
      <c r="AL102" t="str">
        <f>IF($B102=735,SUM($G102-(SUM($H102:$I102))),"")</f>
        <v/>
      </c>
      <c r="AM102" t="str">
        <f>IF($B102=727,SUM($G102-(SUM($H102:$I102))),"")</f>
        <v/>
      </c>
      <c r="AN102" t="str">
        <f>IF($B102=718,SUM($G102-(SUM($H102:$I102))),"")</f>
        <v/>
      </c>
      <c r="AO102" t="str">
        <f>IF($B102=719,SUM($G102-(SUM($H102:$I102))),"")</f>
        <v/>
      </c>
      <c r="AP102" t="str">
        <f>IF($B102=717,SUM($G102-(SUM($H102:$I102))),"")</f>
        <v/>
      </c>
      <c r="AQ102" t="str">
        <f>IF($B102=722,SUM($G102-(SUM($H102:$I102))),"")</f>
        <v/>
      </c>
      <c r="AR102" t="str">
        <f>IF($B102=708,SUM($G102-(SUM($H102:$I102))),"")</f>
        <v/>
      </c>
      <c r="AS102" t="str">
        <f>IF($B102=701,SUM($G102-(SUM($H102:$I102))),"")</f>
        <v/>
      </c>
      <c r="AT102" t="str">
        <f>IF($B102=702,SUM($G102-(SUM($H102:$I102))),"")</f>
        <v/>
      </c>
      <c r="AU102" t="str">
        <f>IF($B102=731,SUM($G102-(SUM($H102:$I102))),"")</f>
        <v/>
      </c>
      <c r="AV102" t="str">
        <f>IF($B102=730,SUM($G102-(SUM($H102:$I102))),"")</f>
        <v/>
      </c>
    </row>
    <row r="103">
      <c r="D103" t="n" s="0">
        <f>D102+G103</f>
        <v>0.0</v>
      </c>
      <c r="F103" t="n" s="0">
        <f>SUM(H103:AV103)-G103</f>
        <v>0.0</v>
      </c>
      <c r="G103" t="n" s="0">
        <v>0.0</v>
      </c>
      <c r="H103" t="str">
        <f>IF(G103/23*3&gt;0,SUM(G103/23*3),"")</f>
        <v/>
      </c>
      <c r="I103" t="str">
        <f>IF(G103/23*3&lt;0,SUM(G103/23*3),"")</f>
        <v/>
      </c>
      <c r="J103" t="str">
        <f>IF($B103=707,SUM($G103-(SUM($H103:$I103))),"")</f>
        <v/>
      </c>
      <c r="K103" t="str">
        <f>IF($B103=706,SUM($G103-(SUM($H103:$I103))),"")</f>
        <v/>
      </c>
      <c r="L103" t="str">
        <f>IF($B103=703,SUM($G103-(SUM($H103:$I103))),"")</f>
        <v/>
      </c>
      <c r="M103" t="str">
        <f>IF($B103=704,SUM($G103-(SUM($H103:$I103))),"")</f>
        <v/>
      </c>
      <c r="N103" t="str">
        <f>IF($B103=709,SUM($G103-(SUM($H103:$I103))),"")</f>
        <v/>
      </c>
      <c r="O103" t="str">
        <f>IF($B103=738,SUM($G103-(SUM($H103:$I103))),"")</f>
        <v/>
      </c>
      <c r="P103" t="str">
        <f>IF($B103=739,SUM($G103-(SUM($H103:$I103))),"")</f>
        <v/>
      </c>
      <c r="Q103" t="str">
        <f>IF($B103=714,SUM($G103-(SUM($H103:$I103))),"")</f>
        <v/>
      </c>
      <c r="R103" t="str">
        <f>IF($B103=710,SUM($G103-(SUM($H103:$I103))),"")</f>
        <v/>
      </c>
      <c r="S103" t="str">
        <f>IF($B103=711,SUM($G103-(SUM($H103:$I103))),"")</f>
        <v/>
      </c>
      <c r="T103" t="str">
        <f>IF($B103=712,SUM($G103-(SUM($H103:$I103))),"")</f>
        <v/>
      </c>
      <c r="U103" t="str">
        <f>IF($B103=713,SUM($G103-(SUM($H103:$I103))),"")</f>
        <v/>
      </c>
      <c r="V103" t="str">
        <f>IF($B103=715,SUM($G103-(SUM($H103:$I103))),"")</f>
        <v/>
      </c>
      <c r="W103" t="str">
        <f>IF($B103=724,SUM($G103-(SUM($H103:$I103))),"")</f>
        <v/>
      </c>
      <c r="X103" t="str">
        <f>IF($B103=725,SUM($G103-(SUM($H103:$I103))),"")</f>
        <v/>
      </c>
      <c r="Y103" t="str">
        <f>IF($B103=726,SUM($G103-(SUM($H103:$I103))),"")</f>
        <v/>
      </c>
      <c r="Z103" t="str">
        <f>IF($B103=727,SUM($G103-(SUM($H103:$I103))),"")</f>
        <v/>
      </c>
      <c r="AA103" t="str">
        <f>IF($B103=728,SUM($G103-(SUM($H103:$I103))),"")</f>
        <v/>
      </c>
      <c r="AB103" t="str">
        <f>IF($B103=729,SUM($G103-(SUM($H103:$I103))),"")</f>
        <v/>
      </c>
      <c r="AC103" t="str">
        <f>IF($B103=730,SUM($G103-(SUM($H103:$I103))),"")</f>
        <v/>
      </c>
      <c r="AD103" t="str">
        <f>IF($B103=732,SUM($G103-(SUM($H103:$I103))),"")</f>
        <v/>
      </c>
      <c r="AE103" t="str">
        <f>IF($B103=733,SUM($G103-(SUM($H103:$I103))),"")</f>
        <v/>
      </c>
      <c r="AF103" t="str">
        <f>IF($B103=734,SUM($G103-(SUM($H103:$I103))),"")</f>
        <v/>
      </c>
      <c r="AG103" t="str">
        <f>IF($B103=705,SUM($G103-(SUM($H103:$I103))),"")</f>
        <v/>
      </c>
      <c r="AH103" t="str">
        <f>IF($B103=735,SUM($G103-(SUM($H103:$I103))),"")</f>
        <v/>
      </c>
      <c r="AI103" t="str">
        <f>IF($B103=736,SUM($G103-(SUM($H103:$I103))),"")</f>
        <v/>
      </c>
      <c r="AJ103" t="str">
        <f>IF($B103=737,SUM($G103-(SUM($H103:$I103))),"")</f>
        <v/>
      </c>
      <c r="AK103" t="str">
        <f>IF($B103=725,SUM($G103-(SUM($H103:$I103))),"")</f>
        <v/>
      </c>
      <c r="AL103" t="str">
        <f>IF($B103=735,SUM($G103-(SUM($H103:$I103))),"")</f>
        <v/>
      </c>
      <c r="AM103" t="str">
        <f>IF($B103=727,SUM($G103-(SUM($H103:$I103))),"")</f>
        <v/>
      </c>
      <c r="AN103" t="str">
        <f>IF($B103=718,SUM($G103-(SUM($H103:$I103))),"")</f>
        <v/>
      </c>
      <c r="AO103" t="str">
        <f>IF($B103=719,SUM($G103-(SUM($H103:$I103))),"")</f>
        <v/>
      </c>
      <c r="AP103" t="str">
        <f>IF($B103=717,SUM($G103-(SUM($H103:$I103))),"")</f>
        <v/>
      </c>
      <c r="AQ103" t="str">
        <f>IF($B103=722,SUM($G103-(SUM($H103:$I103))),"")</f>
        <v/>
      </c>
      <c r="AR103" t="str">
        <f>IF($B103=708,SUM($G103-(SUM($H103:$I103))),"")</f>
        <v/>
      </c>
      <c r="AS103" t="str">
        <f>IF($B103=701,SUM($G103-(SUM($H103:$I103))),"")</f>
        <v/>
      </c>
      <c r="AT103" t="str">
        <f>IF($B103=702,SUM($G103-(SUM($H103:$I103))),"")</f>
        <v/>
      </c>
      <c r="AU103" t="str">
        <f>IF($B103=731,SUM($G103-(SUM($H103:$I103))),"")</f>
        <v/>
      </c>
      <c r="AV103" t="str">
        <f>IF($B103=730,SUM($G103-(SUM($H103:$I103))),"")</f>
        <v/>
      </c>
    </row>
    <row r="104">
      <c r="D104" t="n" s="0">
        <f>D103+G104</f>
        <v>0.0</v>
      </c>
      <c r="F104" t="n" s="0">
        <f>SUM(H104:AV104)-G104</f>
        <v>0.0</v>
      </c>
      <c r="G104" t="n" s="0">
        <v>0.0</v>
      </c>
      <c r="H104" t="str">
        <f>IF(G104/23*3&gt;0,SUM(G104/23*3),"")</f>
        <v/>
      </c>
      <c r="I104" t="str">
        <f>IF(G104/23*3&lt;0,SUM(G104/23*3),"")</f>
        <v/>
      </c>
      <c r="J104" t="str">
        <f>IF($B104=707,SUM($G104-(SUM($H104:$I104))),"")</f>
        <v/>
      </c>
      <c r="K104" t="str">
        <f>IF($B104=706,SUM($G104-(SUM($H104:$I104))),"")</f>
        <v/>
      </c>
      <c r="L104" t="str">
        <f>IF($B104=703,SUM($G104-(SUM($H104:$I104))),"")</f>
        <v/>
      </c>
      <c r="M104" t="str">
        <f>IF($B104=704,SUM($G104-(SUM($H104:$I104))),"")</f>
        <v/>
      </c>
      <c r="N104" t="str">
        <f>IF($B104=709,SUM($G104-(SUM($H104:$I104))),"")</f>
        <v/>
      </c>
      <c r="O104" t="str">
        <f>IF($B104=738,SUM($G104-(SUM($H104:$I104))),"")</f>
        <v/>
      </c>
      <c r="P104" t="str">
        <f>IF($B104=739,SUM($G104-(SUM($H104:$I104))),"")</f>
        <v/>
      </c>
      <c r="Q104" t="str">
        <f>IF($B104=714,SUM($G104-(SUM($H104:$I104))),"")</f>
        <v/>
      </c>
      <c r="R104" t="str">
        <f>IF($B104=710,SUM($G104-(SUM($H104:$I104))),"")</f>
        <v/>
      </c>
      <c r="S104" t="str">
        <f>IF($B104=711,SUM($G104-(SUM($H104:$I104))),"")</f>
        <v/>
      </c>
      <c r="T104" t="str">
        <f>IF($B104=712,SUM($G104-(SUM($H104:$I104))),"")</f>
        <v/>
      </c>
      <c r="U104" t="str">
        <f>IF($B104=713,SUM($G104-(SUM($H104:$I104))),"")</f>
        <v/>
      </c>
      <c r="V104" t="str">
        <f>IF($B104=715,SUM($G104-(SUM($H104:$I104))),"")</f>
        <v/>
      </c>
      <c r="W104" t="str">
        <f>IF($B104=724,SUM($G104-(SUM($H104:$I104))),"")</f>
        <v/>
      </c>
      <c r="X104" t="str">
        <f>IF($B104=725,SUM($G104-(SUM($H104:$I104))),"")</f>
        <v/>
      </c>
      <c r="Y104" t="str">
        <f>IF($B104=726,SUM($G104-(SUM($H104:$I104))),"")</f>
        <v/>
      </c>
      <c r="Z104" t="str">
        <f>IF($B104=727,SUM($G104-(SUM($H104:$I104))),"")</f>
        <v/>
      </c>
      <c r="AA104" t="str">
        <f>IF($B104=728,SUM($G104-(SUM($H104:$I104))),"")</f>
        <v/>
      </c>
      <c r="AB104" t="str">
        <f>IF($B104=729,SUM($G104-(SUM($H104:$I104))),"")</f>
        <v/>
      </c>
      <c r="AC104" t="str">
        <f>IF($B104=730,SUM($G104-(SUM($H104:$I104))),"")</f>
        <v/>
      </c>
      <c r="AD104" t="str">
        <f>IF($B104=732,SUM($G104-(SUM($H104:$I104))),"")</f>
        <v/>
      </c>
      <c r="AE104" t="str">
        <f>IF($B104=733,SUM($G104-(SUM($H104:$I104))),"")</f>
        <v/>
      </c>
      <c r="AF104" t="str">
        <f>IF($B104=734,SUM($G104-(SUM($H104:$I104))),"")</f>
        <v/>
      </c>
      <c r="AG104" t="str">
        <f>IF($B104=705,SUM($G104-(SUM($H104:$I104))),"")</f>
        <v/>
      </c>
      <c r="AH104" t="str">
        <f>IF($B104=735,SUM($G104-(SUM($H104:$I104))),"")</f>
        <v/>
      </c>
      <c r="AI104" t="str">
        <f>IF($B104=736,SUM($G104-(SUM($H104:$I104))),"")</f>
        <v/>
      </c>
      <c r="AJ104" t="str">
        <f>IF($B104=737,SUM($G104-(SUM($H104:$I104))),"")</f>
        <v/>
      </c>
      <c r="AK104" t="str">
        <f>IF($B104=725,SUM($G104-(SUM($H104:$I104))),"")</f>
        <v/>
      </c>
      <c r="AL104" t="str">
        <f>IF($B104=735,SUM($G104-(SUM($H104:$I104))),"")</f>
        <v/>
      </c>
      <c r="AM104" t="str">
        <f>IF($B104=727,SUM($G104-(SUM($H104:$I104))),"")</f>
        <v/>
      </c>
      <c r="AN104" t="str">
        <f>IF($B104=718,SUM($G104-(SUM($H104:$I104))),"")</f>
        <v/>
      </c>
      <c r="AO104" t="str">
        <f>IF($B104=719,SUM($G104-(SUM($H104:$I104))),"")</f>
        <v/>
      </c>
      <c r="AP104" t="str">
        <f>IF($B104=717,SUM($G104-(SUM($H104:$I104))),"")</f>
        <v/>
      </c>
      <c r="AQ104" t="str">
        <f>IF($B104=722,SUM($G104-(SUM($H104:$I104))),"")</f>
        <v/>
      </c>
      <c r="AR104" t="str">
        <f>IF($B104=708,SUM($G104-(SUM($H104:$I104))),"")</f>
        <v/>
      </c>
      <c r="AS104" t="str">
        <f>IF($B104=701,SUM($G104-(SUM($H104:$I104))),"")</f>
        <v/>
      </c>
      <c r="AT104" t="str">
        <f>IF($B104=702,SUM($G104-(SUM($H104:$I104))),"")</f>
        <v/>
      </c>
      <c r="AU104" t="str">
        <f>IF($B104=731,SUM($G104-(SUM($H104:$I104))),"")</f>
        <v/>
      </c>
      <c r="AV104" t="str">
        <f>IF($B104=730,SUM($G104-(SUM($H104:$I104))),"")</f>
        <v/>
      </c>
    </row>
    <row r="105">
      <c r="G105" s="2" t="n">
        <f>SUM(G6:G104)</f>
        <v>0.0</v>
      </c>
      <c r="H105" s="2" t="n">
        <f>SUM(H6:H104)</f>
        <v>0.0</v>
      </c>
      <c r="I105" s="2" t="n">
        <f>SUM(I6:I104)</f>
        <v>0.0</v>
      </c>
      <c r="J105" s="2" t="n">
        <f>SUM(J6:J104)</f>
        <v>0.0</v>
      </c>
      <c r="K105" s="2" t="n">
        <f>SUM(K6:K104)</f>
        <v>0.0</v>
      </c>
      <c r="L105" s="2" t="n">
        <f>SUM(L6:L104)</f>
        <v>0.0</v>
      </c>
      <c r="M105" s="2" t="n">
        <f>SUM(M6:M104)</f>
        <v>0.0</v>
      </c>
      <c r="N105" s="2" t="n">
        <f>SUM(N6:N104)</f>
        <v>0.0</v>
      </c>
      <c r="O105" s="2" t="n">
        <f>SUM(O6:O104)</f>
        <v>0.0</v>
      </c>
      <c r="P105" s="2" t="n">
        <f>SUM(P6:P104)</f>
        <v>0.0</v>
      </c>
      <c r="Q105" s="2" t="n">
        <f>SUM(Q6:Q104)</f>
        <v>0.0</v>
      </c>
      <c r="R105" s="2" t="n">
        <f>SUM(R6:R104)</f>
        <v>0.0</v>
      </c>
      <c r="S105" s="2" t="n">
        <f>SUM(S6:S104)</f>
        <v>0.0</v>
      </c>
      <c r="T105" s="2" t="n">
        <f>SUM(T6:T104)</f>
        <v>0.0</v>
      </c>
      <c r="U105" s="2" t="n">
        <f>SUM(U6:U104)</f>
        <v>0.0</v>
      </c>
      <c r="V105" s="2" t="n">
        <f>SUM(V6:V104)</f>
        <v>0.0</v>
      </c>
      <c r="W105" s="2" t="n">
        <f>SUM(W6:W104)</f>
        <v>0.0</v>
      </c>
      <c r="X105" s="2" t="n">
        <f>SUM(X6:X104)</f>
        <v>0.0</v>
      </c>
      <c r="Y105" s="2" t="n">
        <f>SUM(Y6:Y104)</f>
        <v>0.0</v>
      </c>
      <c r="Z105" s="2" t="n">
        <f>SUM(Z6:Z104)</f>
        <v>0.0</v>
      </c>
      <c r="AA105" s="2" t="n">
        <f>SUM(AA6:AA104)</f>
        <v>0.0</v>
      </c>
      <c r="AB105" s="2" t="n">
        <f>SUM(AB6:AB104)</f>
        <v>0.0</v>
      </c>
      <c r="AC105" s="2" t="n">
        <f>SUM(AC6:AC104)</f>
        <v>0.0</v>
      </c>
      <c r="AD105" s="2" t="n">
        <f>SUM(AD6:AD104)</f>
        <v>0.0</v>
      </c>
      <c r="AE105" s="2" t="n">
        <f>SUM(AE6:AE104)</f>
        <v>0.0</v>
      </c>
      <c r="AF105" s="2" t="n">
        <f>SUM(AF6:AF104)</f>
        <v>0.0</v>
      </c>
      <c r="AG105" s="2" t="n">
        <f>SUM(AG6:AG104)</f>
        <v>0.0</v>
      </c>
      <c r="AH105" s="2" t="n">
        <f>SUM(AH6:AH104)</f>
        <v>0.0</v>
      </c>
      <c r="AI105" s="2" t="n">
        <f>SUM(AI6:AI104)</f>
        <v>0.0</v>
      </c>
      <c r="AJ105" s="2" t="n">
        <f>SUM(AJ6:AJ104)</f>
        <v>0.0</v>
      </c>
      <c r="AK105" s="2" t="n">
        <f>SUM(AK6:AK104)</f>
        <v>0.0</v>
      </c>
      <c r="AL105" s="2" t="n">
        <f>SUM(AL6:AL104)</f>
        <v>0.0</v>
      </c>
      <c r="AM105" s="2" t="n">
        <f>SUM(AM6:AM104)</f>
        <v>0.0</v>
      </c>
      <c r="AN105" s="2" t="n">
        <f>SUM(AN6:AN104)</f>
        <v>0.0</v>
      </c>
      <c r="AO105" s="2" t="n">
        <f>SUM(AO6:AO104)</f>
        <v>0.0</v>
      </c>
      <c r="AP105" s="2" t="n">
        <f>SUM(AP6:AP104)</f>
        <v>0.0</v>
      </c>
      <c r="AQ105" s="2" t="n">
        <f>SUM(AQ6:AQ104)</f>
        <v>0.0</v>
      </c>
      <c r="AR105" s="2" t="n">
        <f>SUM(AR6:AR104)</f>
        <v>0.0</v>
      </c>
      <c r="AS105" s="2" t="n">
        <f>SUM(AS6:AS104)</f>
        <v>0.0</v>
      </c>
      <c r="AT105" s="2" t="n">
        <f>SUM(AT6:AT104)</f>
        <v>0.0</v>
      </c>
      <c r="AU105" s="2" t="n">
        <f>SUM(AU6:AU104)</f>
        <v>0.0</v>
      </c>
      <c r="AV105" s="2" t="n">
        <f>SUM(AV6:AV104)</f>
        <v>0.0</v>
      </c>
    </row>
    <row r="106">
      <c r="C106" t="s" s="1">
        <v>92</v>
      </c>
    </row>
    <row r="108">
      <c r="C108" t="s" s="0">
        <v>93</v>
      </c>
    </row>
    <row r="110">
      <c r="C110" t="s" s="0">
        <v>94</v>
      </c>
    </row>
    <row r="112">
      <c r="E112" t="s" s="0">
        <v>95</v>
      </c>
    </row>
    <row r="113">
      <c r="C113" t="s" s="0">
        <v>96</v>
      </c>
    </row>
    <row r="117">
      <c r="D117" t="n" s="0">
        <f>SUM(D108:D116)</f>
        <v>0.0</v>
      </c>
    </row>
    <row r="119">
      <c r="C119" t="s" s="0">
        <v>97</v>
      </c>
      <c r="D119" t="n" s="0">
        <f>D104</f>
        <v>0.0</v>
      </c>
    </row>
    <row r="120">
      <c r="D120" t="n" s="0">
        <f>D119-D117</f>
        <v>0.0</v>
      </c>
    </row>
    <row r="124">
      <c r="C124" t="s" s="0">
        <v>98</v>
      </c>
    </row>
    <row r="126">
      <c r="C126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8"/>
  <sheetViews>
    <sheetView workbookViewId="0"/>
  </sheetViews>
  <sheetFormatPr defaultRowHeight="15.0"/>
  <sheetData>
    <row r="1">
      <c r="A1" t="s" s="1">
        <v>100</v>
      </c>
    </row>
    <row r="2">
      <c r="A2" t="s" s="1">
        <v>101</v>
      </c>
    </row>
    <row r="5">
      <c r="B5" t="s" s="1">
        <v>102</v>
      </c>
    </row>
    <row r="7">
      <c r="B7" t="s" s="0">
        <v>103</v>
      </c>
      <c r="E7" t="n" s="0">
        <f>Cashbook!J105</f>
        <v>0.0</v>
      </c>
    </row>
    <row r="8">
      <c r="B8" t="s" s="0">
        <v>104</v>
      </c>
      <c r="E8" t="n" s="0">
        <f>Cashbook!K105</f>
        <v>0.0</v>
      </c>
    </row>
    <row r="9">
      <c r="B9" t="s" s="0">
        <v>53</v>
      </c>
      <c r="E9" t="n" s="0">
        <f>Cashbook!H105</f>
        <v>0.0</v>
      </c>
    </row>
    <row r="11">
      <c r="B11" t="s" s="1">
        <v>105</v>
      </c>
      <c r="E11" t="n" s="0">
        <f>SUM(E7:E10)</f>
        <v>0.0</v>
      </c>
    </row>
    <row r="14">
      <c r="B14" t="s" s="1">
        <v>106</v>
      </c>
    </row>
    <row r="16">
      <c r="B16" t="str" s="0">
        <f>Cashbook!N5</f>
        <v>Purchases</v>
      </c>
      <c r="E16" t="n" s="0">
        <f>Cashbook!N105</f>
        <v>0.0</v>
      </c>
    </row>
    <row r="17">
      <c r="B17" t="str" s="0">
        <f>Cashbook!O5</f>
        <v>ACC Levy</v>
      </c>
      <c r="E17" t="n" s="0">
        <f>Cashbook!O105</f>
        <v>0.0</v>
      </c>
    </row>
    <row r="18">
      <c r="B18" t="str" s="0">
        <f>Cashbook!P5</f>
        <v>No GST Purchases
(online tech. subscriptions)</v>
      </c>
      <c r="E18" t="n" s="0">
        <f>Cashbook!P105</f>
        <v>0.0</v>
      </c>
    </row>
    <row r="19">
      <c r="B19" t="s" s="0">
        <v>60</v>
      </c>
      <c r="E19" t="n" s="0">
        <f>Cashbook!Q105</f>
        <v>0.0</v>
      </c>
    </row>
    <row r="20">
      <c r="B20" t="str" s="0">
        <f>Cashbook!R5</f>
        <v>Bank Fees</v>
      </c>
      <c r="E20" t="n" s="0">
        <f>Cashbook!R105</f>
        <v>0.0</v>
      </c>
    </row>
    <row r="21">
      <c r="B21" t="str" s="0">
        <f>Cashbook!S5</f>
        <v>Accountancy</v>
      </c>
      <c r="E21" t="n" s="0">
        <f>Cashbook!S105</f>
        <v>0.0</v>
      </c>
    </row>
    <row r="22">
      <c r="B22" t="s" s="0">
        <v>63</v>
      </c>
      <c r="E22" t="n" s="0">
        <f>Cashbook!T105</f>
        <v>0.0</v>
      </c>
    </row>
    <row r="23">
      <c r="B23" t="str" s="0">
        <f>Cashbook!U5</f>
        <v>Vehicle Expenses</v>
      </c>
      <c r="E23" t="n" s="0">
        <f>Cashbook!U105</f>
        <v>0.0</v>
      </c>
    </row>
    <row r="24">
      <c r="B24" t="str" s="0">
        <f>Cashbook!V5</f>
        <v>Postage &amp; Stationery</v>
      </c>
      <c r="E24" t="n" s="0">
        <f>Cashbook!V105</f>
        <v>0.0</v>
      </c>
    </row>
    <row r="25">
      <c r="B25" t="s" s="0">
        <v>66</v>
      </c>
      <c r="E25" t="n" s="0">
        <f>Cashbook!W105</f>
        <v>0.0</v>
      </c>
      <c r="G25" t="s" s="0">
        <v>107</v>
      </c>
    </row>
    <row r="26">
      <c r="B26" t="str" s="0">
        <f>Cashbook!X5</f>
        <v>Power</v>
      </c>
      <c r="E26" t="n" s="0">
        <f>Cashbook!X105</f>
        <v>0.0</v>
      </c>
    </row>
    <row r="27">
      <c r="B27" t="str" s="0">
        <f>Cashbook!Y5</f>
        <v>Entertaintment</v>
      </c>
      <c r="E27" t="n" s="0">
        <f>Cashbook!Y105</f>
        <v>0.0</v>
      </c>
    </row>
    <row r="28">
      <c r="B28" t="str" s="0">
        <f>Cashbook!Z5</f>
        <v>Internet</v>
      </c>
      <c r="E28" t="n" s="0">
        <f>Cashbook!Z105</f>
        <v>0.0</v>
      </c>
    </row>
    <row r="29">
      <c r="B29" t="str" s="0">
        <f>Cashbook!AA5</f>
        <v>Mobile Plan - Tui Mobile</v>
      </c>
      <c r="E29" t="n" s="0">
        <f>Cashbook!AA105</f>
        <v>0.0</v>
      </c>
    </row>
    <row r="30">
      <c r="B30" t="str" s="0">
        <f>Cashbook!AB5</f>
        <v>Car Parking</v>
      </c>
      <c r="E30" t="n" s="0">
        <f>Cashbook!AB105</f>
        <v>0.0</v>
      </c>
    </row>
    <row r="31">
      <c r="B31" t="str" s="0">
        <f>Cashbook!AC5</f>
        <v>Contents Insurance</v>
      </c>
      <c r="E31" t="n" s="0">
        <f>Cashbook!AC105</f>
        <v>0.0</v>
      </c>
    </row>
    <row r="32">
      <c r="B32" t="str" s="0">
        <f>Cashbook!AD5</f>
        <v>Indemnity Insurance</v>
      </c>
      <c r="E32" t="n" s="0">
        <f>Cashbook!AD105</f>
        <v>0.0</v>
      </c>
    </row>
    <row r="33">
      <c r="B33" t="str" s="0">
        <f>Cashbook!AE5</f>
        <v>Fakeville Council Rates/Body Corp Fees</v>
      </c>
      <c r="E33" t="n" s="0">
        <f>Cashbook!AE105</f>
        <v>0.0</v>
      </c>
    </row>
    <row r="34">
      <c r="B34" t="str" s="0">
        <f>Cashbook!AF5</f>
        <v>Home Office Expenses</v>
      </c>
      <c r="E34" t="n" s="0">
        <f>Cashbook!AF105</f>
        <v>0.0</v>
      </c>
    </row>
    <row r="35">
      <c r="B35" t="str" s="0">
        <f>Cashbook!H5</f>
        <v>GST Income</v>
      </c>
      <c r="E35" t="n" s="0">
        <f>Cashbook!I105</f>
        <v>0.0</v>
      </c>
    </row>
    <row r="37">
      <c r="B37" t="s" s="1">
        <v>108</v>
      </c>
      <c r="E37" t="n" s="0">
        <f>SUM(E16:E36)</f>
        <v>0.0</v>
      </c>
    </row>
    <row r="40">
      <c r="B40" t="s" s="0">
        <v>105</v>
      </c>
      <c r="E40" t="n" s="0">
        <f>E11</f>
        <v>0.0</v>
      </c>
    </row>
    <row r="41">
      <c r="B41" t="s" s="0">
        <v>108</v>
      </c>
      <c r="E41" t="n" s="0">
        <f>E37</f>
        <v>0.0</v>
      </c>
    </row>
    <row r="42">
      <c r="E42" t="n" s="0">
        <f>SUM(E40:E41)</f>
        <v>0.0</v>
      </c>
    </row>
    <row r="44">
      <c r="B44" t="s" s="1">
        <v>109</v>
      </c>
    </row>
    <row r="45">
      <c r="B45" t="s" s="0">
        <v>110</v>
      </c>
      <c r="E45" t="n" s="0">
        <f>Cashbook!G105</f>
        <v>0.0</v>
      </c>
    </row>
    <row r="46">
      <c r="E46" t="n" s="0">
        <f>SUM(E45:E45)</f>
        <v>0.0</v>
      </c>
    </row>
    <row r="48">
      <c r="D48" t="s" s="1">
        <v>111</v>
      </c>
      <c r="E48" t="n" s="0">
        <f>E46-E42</f>
        <v>0.0</v>
      </c>
      <c r="G48" t="s" s="0">
        <v>112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17"/>
  <sheetViews>
    <sheetView workbookViewId="0"/>
  </sheetViews>
  <sheetFormatPr defaultRowHeight="15.0"/>
  <sheetData>
    <row r="1">
      <c r="A1" t="s" s="3">
        <v>113</v>
      </c>
    </row>
    <row r="4">
      <c r="A4" t="s" s="1">
        <v>48</v>
      </c>
      <c r="B4" t="s" s="1">
        <v>114</v>
      </c>
      <c r="C4" t="s" s="1">
        <v>115</v>
      </c>
    </row>
    <row r="6">
      <c r="A6" t="n" s="0">
        <v>739.0</v>
      </c>
      <c r="B6" t="s" s="0">
        <v>59</v>
      </c>
      <c r="C6" t="n" s="4">
        <v>1.0</v>
      </c>
    </row>
    <row r="7">
      <c r="A7" t="n" s="0">
        <v>710.0</v>
      </c>
      <c r="B7" t="s" s="0">
        <v>61</v>
      </c>
      <c r="C7" t="n" s="4">
        <v>1.0</v>
      </c>
    </row>
    <row r="8">
      <c r="A8" t="n" s="0">
        <v>711.0</v>
      </c>
      <c r="B8" t="s" s="0">
        <v>62</v>
      </c>
      <c r="C8" t="n" s="4">
        <v>1.0</v>
      </c>
    </row>
    <row r="9">
      <c r="A9" t="n" s="0">
        <v>725.0</v>
      </c>
      <c r="B9" t="s" s="0">
        <v>67</v>
      </c>
      <c r="C9" t="n" s="4">
        <v>0.25</v>
      </c>
    </row>
    <row r="10">
      <c r="A10" t="n" s="0">
        <v>726.0</v>
      </c>
      <c r="B10" t="s" s="0">
        <v>68</v>
      </c>
      <c r="C10" t="n" s="4">
        <v>0.5</v>
      </c>
    </row>
    <row r="11">
      <c r="A11" t="n" s="0">
        <v>727.0</v>
      </c>
      <c r="B11" t="s" s="0">
        <v>69</v>
      </c>
      <c r="C11" t="n" s="4">
        <v>1.0</v>
      </c>
    </row>
    <row r="12">
      <c r="A12" t="n" s="0">
        <v>728.0</v>
      </c>
      <c r="B12" t="s" s="0">
        <v>70</v>
      </c>
      <c r="C12" t="n" s="4">
        <v>0.8</v>
      </c>
    </row>
    <row r="13">
      <c r="A13" t="n" s="0">
        <v>729.0</v>
      </c>
      <c r="B13" t="s" s="0">
        <v>71</v>
      </c>
      <c r="C13" t="n" s="4">
        <v>1.0</v>
      </c>
    </row>
    <row r="14">
      <c r="A14" t="n" s="0">
        <v>730.0</v>
      </c>
      <c r="B14" t="s" s="0">
        <v>72</v>
      </c>
      <c r="C14" t="n" s="4">
        <v>0.25</v>
      </c>
    </row>
    <row r="15">
      <c r="A15" t="n" s="0">
        <v>732.0</v>
      </c>
      <c r="B15" t="s" s="0">
        <v>73</v>
      </c>
      <c r="C15" t="n" s="4">
        <v>1.0</v>
      </c>
    </row>
    <row r="16">
      <c r="A16" t="n" s="0">
        <v>733.0</v>
      </c>
      <c r="B16" t="s" s="0">
        <v>74</v>
      </c>
      <c r="C16" t="n" s="4">
        <v>0.25</v>
      </c>
    </row>
    <row r="17">
      <c r="A17" t="n" s="0">
        <v>734.0</v>
      </c>
      <c r="B17" t="s" s="0">
        <v>75</v>
      </c>
      <c r="C17" t="n" s="4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80"/>
  <sheetViews>
    <sheetView workbookViewId="0"/>
  </sheetViews>
  <sheetFormatPr defaultRowHeight="15.0"/>
  <sheetData>
    <row r="1">
      <c r="A1" t="s" s="1">
        <v>116</v>
      </c>
      <c r="G1" t="str" s="0">
        <f>TEXT(H1, "mmm") &amp; "'" &amp; YEAR(H1)</f>
        <v>Oct'2026</v>
      </c>
      <c r="H1" t="n">
        <f>DATE(2026, 10, 1)</f>
        <v>46296.0</v>
      </c>
    </row>
    <row r="2">
      <c r="A2" t="s" s="0">
        <v>117</v>
      </c>
      <c r="G2" t="str" s="0">
        <f>TEXT(H2, "mmm") &amp; "'" &amp; YEAR(H2)</f>
        <v>Nov'2026</v>
      </c>
      <c r="H2" t="n">
        <f>DATE(2026, 11, 1)</f>
        <v>46327.0</v>
      </c>
    </row>
    <row r="3">
      <c r="G3" t="str" s="0">
        <f>TEXT(H3, "mmm") &amp; "'" &amp; YEAR(H3)</f>
        <v>Dec'2026</v>
      </c>
      <c r="H3" t="n">
        <f>DATE(2026, 12, 1)</f>
        <v>46357.0</v>
      </c>
    </row>
    <row r="4">
      <c r="A4" t="s" s="1">
        <v>118</v>
      </c>
      <c r="G4" t="str" s="0">
        <f>TEXT(H4, "mmm") &amp; "'" &amp; YEAR(H4)</f>
        <v>Jan'2027</v>
      </c>
      <c r="H4" t="n">
        <f>DATE(2027, 1, 1)</f>
        <v>46388.0</v>
      </c>
    </row>
    <row r="5">
      <c r="A5" t="str" s="0">
        <f>G1</f>
        <v>Oct'2026</v>
      </c>
      <c r="B5" t="s" s="0">
        <v>119</v>
      </c>
      <c r="C5" t="n" s="2">
        <v>0.0</v>
      </c>
      <c r="G5" t="str" s="0">
        <f>TEXT(H5, "mmm") &amp; "'" &amp; YEAR(H5)</f>
        <v>Feb'2027</v>
      </c>
      <c r="H5" t="n">
        <f>DATE(2027, 2, 1)</f>
        <v>46419.0</v>
      </c>
    </row>
    <row r="6">
      <c r="A6" t="str" s="0">
        <f>G2</f>
        <v>Nov'2026</v>
      </c>
      <c r="B6" t="s" s="0">
        <v>119</v>
      </c>
      <c r="C6" t="n" s="2">
        <v>0.0</v>
      </c>
      <c r="G6" t="str" s="0">
        <f>TEXT(H6, "mmm") &amp; "'" &amp; YEAR(H6)</f>
        <v>Mar'2027</v>
      </c>
      <c r="H6" t="n">
        <f>DATE(2027, 3, 1)</f>
        <v>46447.0</v>
      </c>
    </row>
    <row r="7">
      <c r="A7" t="str" s="0">
        <f>G3</f>
        <v>Dec'2026</v>
      </c>
      <c r="B7" t="s" s="0">
        <v>119</v>
      </c>
      <c r="C7" t="n" s="2">
        <v>0.0</v>
      </c>
    </row>
    <row r="8">
      <c r="A8" t="str" s="0">
        <f>G4</f>
        <v>Jan'2027</v>
      </c>
      <c r="B8" t="s" s="0">
        <v>119</v>
      </c>
      <c r="C8" t="n" s="2">
        <v>0.0</v>
      </c>
    </row>
    <row r="9">
      <c r="A9" t="str" s="0">
        <f>G5</f>
        <v>Feb'2027</v>
      </c>
      <c r="B9" t="s" s="0">
        <v>119</v>
      </c>
      <c r="C9" t="n" s="2">
        <v>0.0</v>
      </c>
    </row>
    <row r="10">
      <c r="A10" t="str" s="0">
        <f>G6</f>
        <v>Mar'2027</v>
      </c>
      <c r="B10" t="s" s="0">
        <v>119</v>
      </c>
      <c r="C10" t="n" s="2">
        <v>0.0</v>
      </c>
    </row>
    <row r="12">
      <c r="A12" t="s" s="1">
        <v>73</v>
      </c>
    </row>
    <row r="16">
      <c r="A16" t="s" s="1">
        <v>120</v>
      </c>
      <c r="C16" t="s" s="0">
        <v>123</v>
      </c>
    </row>
    <row r="36">
      <c r="A36" t="s" s="1">
        <v>81</v>
      </c>
    </row>
    <row r="56">
      <c r="A56" t="s" s="1">
        <v>121</v>
      </c>
    </row>
    <row r="80">
      <c r="A80" t="s" s="1">
        <v>122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cashbook-agent synthetic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2027-04-05T09:00:00Z</dcterms:created>
  <dc:creator>cashbook-agent synthetic generator</dc:creator>
  <cp:lastModifiedBy>cashbook-agent synthetic generator</cp:lastModifiedBy>
  <dcterms:modified xsi:type="dcterms:W3CDTF">2027-04-05T09:00:00Z</dcterms:modified>
</cp:coreProperties>
</file>